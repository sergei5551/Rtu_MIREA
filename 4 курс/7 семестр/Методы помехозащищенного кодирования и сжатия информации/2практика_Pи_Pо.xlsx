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ei\Desktop\Rtu_MIREA\4 курс\7 семестр\Методы помехозащищенного кодирования и сжатия информации\"/>
    </mc:Choice>
  </mc:AlternateContent>
  <xr:revisionPtr revIDLastSave="0" documentId="13_ncr:1_{E09BC7EA-0BC1-4839-84ED-F026E96C952F}" xr6:coauthVersionLast="47" xr6:coauthVersionMax="47" xr10:uidLastSave="{00000000-0000-0000-0000-000000000000}"/>
  <bookViews>
    <workbookView xWindow="9510" yWindow="0" windowWidth="9780" windowHeight="10890" xr2:uid="{400CDDBD-F276-4F65-AED8-E311263EFAFE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9" i="1" l="1"/>
  <c r="AG7" i="1"/>
  <c r="AG8" i="1" s="1"/>
  <c r="AG9" i="1" s="1"/>
  <c r="AG10" i="1" s="1"/>
  <c r="AG11" i="1" s="1"/>
  <c r="AG12" i="1" s="1"/>
  <c r="AG13" i="1" s="1"/>
  <c r="AG14" i="1" s="1"/>
  <c r="AG15" i="1" s="1"/>
  <c r="AG16" i="1" s="1"/>
  <c r="AA10" i="1"/>
  <c r="AC10" i="1" s="1"/>
  <c r="AA12" i="1"/>
  <c r="AC12" i="1" s="1"/>
  <c r="AA13" i="1"/>
  <c r="AC13" i="1" s="1"/>
  <c r="AA14" i="1"/>
  <c r="AC14" i="1" s="1"/>
  <c r="AA16" i="1"/>
  <c r="AC16" i="1" s="1"/>
  <c r="AA17" i="1"/>
  <c r="AC17" i="1" s="1"/>
  <c r="AA18" i="1"/>
  <c r="AC18" i="1" s="1"/>
  <c r="AA20" i="1"/>
  <c r="AC20" i="1" s="1"/>
  <c r="AA9" i="1"/>
  <c r="AC9" i="1" s="1"/>
  <c r="AE9" i="1" s="1"/>
  <c r="Y10" i="1"/>
  <c r="Y12" i="1"/>
  <c r="Y13" i="1"/>
  <c r="Y14" i="1"/>
  <c r="Y16" i="1"/>
  <c r="Y17" i="1"/>
  <c r="Y18" i="1"/>
  <c r="Y20" i="1"/>
  <c r="Y9" i="1"/>
  <c r="I2" i="1"/>
  <c r="F2" i="1"/>
  <c r="AA11" i="1" s="1"/>
  <c r="X10" i="1"/>
  <c r="X11" i="1"/>
  <c r="X12" i="1"/>
  <c r="X13" i="1"/>
  <c r="X14" i="1"/>
  <c r="X15" i="1"/>
  <c r="X16" i="1"/>
  <c r="X17" i="1"/>
  <c r="X18" i="1"/>
  <c r="X19" i="1"/>
  <c r="X20" i="1"/>
  <c r="X9" i="1"/>
  <c r="G10" i="1"/>
  <c r="R10" i="1" s="1"/>
  <c r="G11" i="1"/>
  <c r="H11" i="1"/>
  <c r="R11" i="1" s="1"/>
  <c r="I11" i="1"/>
  <c r="J11" i="1"/>
  <c r="K11" i="1"/>
  <c r="L11" i="1"/>
  <c r="M11" i="1"/>
  <c r="N11" i="1"/>
  <c r="O11" i="1"/>
  <c r="P11" i="1"/>
  <c r="Q11" i="1"/>
  <c r="G12" i="1"/>
  <c r="R12" i="1" s="1"/>
  <c r="H12" i="1"/>
  <c r="I12" i="1"/>
  <c r="J12" i="1"/>
  <c r="K12" i="1"/>
  <c r="L12" i="1"/>
  <c r="M12" i="1"/>
  <c r="N12" i="1"/>
  <c r="O12" i="1"/>
  <c r="P12" i="1"/>
  <c r="Q12" i="1"/>
  <c r="G13" i="1"/>
  <c r="H13" i="1"/>
  <c r="R13" i="1" s="1"/>
  <c r="I13" i="1"/>
  <c r="J13" i="1"/>
  <c r="K13" i="1"/>
  <c r="L13" i="1"/>
  <c r="M13" i="1"/>
  <c r="N13" i="1"/>
  <c r="O13" i="1"/>
  <c r="P13" i="1"/>
  <c r="Q13" i="1"/>
  <c r="G14" i="1"/>
  <c r="R14" i="1" s="1"/>
  <c r="H14" i="1"/>
  <c r="I14" i="1"/>
  <c r="J14" i="1"/>
  <c r="K14" i="1"/>
  <c r="L14" i="1"/>
  <c r="M14" i="1"/>
  <c r="N14" i="1"/>
  <c r="O14" i="1"/>
  <c r="P14" i="1"/>
  <c r="Q14" i="1"/>
  <c r="G15" i="1"/>
  <c r="H15" i="1"/>
  <c r="R15" i="1" s="1"/>
  <c r="I15" i="1"/>
  <c r="J15" i="1"/>
  <c r="K15" i="1"/>
  <c r="L15" i="1"/>
  <c r="M15" i="1"/>
  <c r="N15" i="1"/>
  <c r="O15" i="1"/>
  <c r="P15" i="1"/>
  <c r="Q15" i="1"/>
  <c r="G16" i="1"/>
  <c r="R16" i="1" s="1"/>
  <c r="H16" i="1"/>
  <c r="I16" i="1"/>
  <c r="J16" i="1"/>
  <c r="K16" i="1"/>
  <c r="L16" i="1"/>
  <c r="M16" i="1"/>
  <c r="N16" i="1"/>
  <c r="O16" i="1"/>
  <c r="P16" i="1"/>
  <c r="Q16" i="1"/>
  <c r="G17" i="1"/>
  <c r="H17" i="1"/>
  <c r="R17" i="1" s="1"/>
  <c r="I17" i="1"/>
  <c r="J17" i="1"/>
  <c r="K17" i="1"/>
  <c r="L17" i="1"/>
  <c r="M17" i="1"/>
  <c r="N17" i="1"/>
  <c r="O17" i="1"/>
  <c r="P17" i="1"/>
  <c r="Q17" i="1"/>
  <c r="G18" i="1"/>
  <c r="R18" i="1" s="1"/>
  <c r="H18" i="1"/>
  <c r="I18" i="1"/>
  <c r="J18" i="1"/>
  <c r="K18" i="1"/>
  <c r="L18" i="1"/>
  <c r="M18" i="1"/>
  <c r="N18" i="1"/>
  <c r="O18" i="1"/>
  <c r="P18" i="1"/>
  <c r="Q18" i="1"/>
  <c r="G19" i="1"/>
  <c r="H19" i="1"/>
  <c r="R19" i="1" s="1"/>
  <c r="I19" i="1"/>
  <c r="J19" i="1"/>
  <c r="K19" i="1"/>
  <c r="L19" i="1"/>
  <c r="M19" i="1"/>
  <c r="N19" i="1"/>
  <c r="O19" i="1"/>
  <c r="P19" i="1"/>
  <c r="Q19" i="1"/>
  <c r="G20" i="1"/>
  <c r="R20" i="1" s="1"/>
  <c r="H20" i="1"/>
  <c r="I20" i="1"/>
  <c r="J20" i="1"/>
  <c r="K20" i="1"/>
  <c r="L20" i="1"/>
  <c r="M20" i="1"/>
  <c r="N20" i="1"/>
  <c r="O20" i="1"/>
  <c r="P20" i="1"/>
  <c r="Q20" i="1"/>
  <c r="G21" i="1"/>
  <c r="H21" i="1"/>
  <c r="R21" i="1" s="1"/>
  <c r="I21" i="1"/>
  <c r="J21" i="1"/>
  <c r="K21" i="1"/>
  <c r="L21" i="1"/>
  <c r="M21" i="1"/>
  <c r="N21" i="1"/>
  <c r="O21" i="1"/>
  <c r="P21" i="1"/>
  <c r="Q21" i="1"/>
  <c r="G22" i="1"/>
  <c r="R22" i="1" s="1"/>
  <c r="H22" i="1"/>
  <c r="I22" i="1"/>
  <c r="J22" i="1"/>
  <c r="K22" i="1"/>
  <c r="L22" i="1"/>
  <c r="M22" i="1"/>
  <c r="N22" i="1"/>
  <c r="O22" i="1"/>
  <c r="P22" i="1"/>
  <c r="Q22" i="1"/>
  <c r="G23" i="1"/>
  <c r="H23" i="1"/>
  <c r="R23" i="1" s="1"/>
  <c r="I23" i="1"/>
  <c r="J23" i="1"/>
  <c r="K23" i="1"/>
  <c r="L23" i="1"/>
  <c r="M23" i="1"/>
  <c r="N23" i="1"/>
  <c r="O23" i="1"/>
  <c r="P23" i="1"/>
  <c r="Q23" i="1"/>
  <c r="G24" i="1"/>
  <c r="R24" i="1" s="1"/>
  <c r="H24" i="1"/>
  <c r="I24" i="1"/>
  <c r="J24" i="1"/>
  <c r="K24" i="1"/>
  <c r="L24" i="1"/>
  <c r="M24" i="1"/>
  <c r="N24" i="1"/>
  <c r="O24" i="1"/>
  <c r="P24" i="1"/>
  <c r="Q24" i="1"/>
  <c r="G25" i="1"/>
  <c r="H25" i="1"/>
  <c r="R25" i="1" s="1"/>
  <c r="I25" i="1"/>
  <c r="J25" i="1"/>
  <c r="K25" i="1"/>
  <c r="L25" i="1"/>
  <c r="M25" i="1"/>
  <c r="N25" i="1"/>
  <c r="O25" i="1"/>
  <c r="P25" i="1"/>
  <c r="Q25" i="1"/>
  <c r="G26" i="1"/>
  <c r="R26" i="1" s="1"/>
  <c r="H26" i="1"/>
  <c r="I26" i="1"/>
  <c r="J26" i="1"/>
  <c r="K26" i="1"/>
  <c r="L26" i="1"/>
  <c r="M26" i="1"/>
  <c r="N26" i="1"/>
  <c r="O26" i="1"/>
  <c r="P26" i="1"/>
  <c r="Q26" i="1"/>
  <c r="G27" i="1"/>
  <c r="H27" i="1"/>
  <c r="R27" i="1" s="1"/>
  <c r="I27" i="1"/>
  <c r="J27" i="1"/>
  <c r="K27" i="1"/>
  <c r="L27" i="1"/>
  <c r="M27" i="1"/>
  <c r="N27" i="1"/>
  <c r="O27" i="1"/>
  <c r="P27" i="1"/>
  <c r="Q27" i="1"/>
  <c r="G28" i="1"/>
  <c r="R28" i="1" s="1"/>
  <c r="H28" i="1"/>
  <c r="I28" i="1"/>
  <c r="J28" i="1"/>
  <c r="K28" i="1"/>
  <c r="L28" i="1"/>
  <c r="M28" i="1"/>
  <c r="N28" i="1"/>
  <c r="O28" i="1"/>
  <c r="P28" i="1"/>
  <c r="Q28" i="1"/>
  <c r="G29" i="1"/>
  <c r="H29" i="1"/>
  <c r="R29" i="1" s="1"/>
  <c r="I29" i="1"/>
  <c r="J29" i="1"/>
  <c r="K29" i="1"/>
  <c r="L29" i="1"/>
  <c r="M29" i="1"/>
  <c r="N29" i="1"/>
  <c r="O29" i="1"/>
  <c r="P29" i="1"/>
  <c r="Q29" i="1"/>
  <c r="G30" i="1"/>
  <c r="R30" i="1" s="1"/>
  <c r="H30" i="1"/>
  <c r="I30" i="1"/>
  <c r="J30" i="1"/>
  <c r="K30" i="1"/>
  <c r="L30" i="1"/>
  <c r="M30" i="1"/>
  <c r="N30" i="1"/>
  <c r="O30" i="1"/>
  <c r="P30" i="1"/>
  <c r="Q30" i="1"/>
  <c r="G31" i="1"/>
  <c r="H31" i="1"/>
  <c r="R31" i="1" s="1"/>
  <c r="I31" i="1"/>
  <c r="J31" i="1"/>
  <c r="K31" i="1"/>
  <c r="L31" i="1"/>
  <c r="M31" i="1"/>
  <c r="N31" i="1"/>
  <c r="O31" i="1"/>
  <c r="P31" i="1"/>
  <c r="Q31" i="1"/>
  <c r="G32" i="1"/>
  <c r="R32" i="1" s="1"/>
  <c r="H32" i="1"/>
  <c r="I32" i="1"/>
  <c r="J32" i="1"/>
  <c r="K32" i="1"/>
  <c r="L32" i="1"/>
  <c r="M32" i="1"/>
  <c r="N32" i="1"/>
  <c r="O32" i="1"/>
  <c r="P32" i="1"/>
  <c r="Q32" i="1"/>
  <c r="G33" i="1"/>
  <c r="H33" i="1"/>
  <c r="R33" i="1" s="1"/>
  <c r="I33" i="1"/>
  <c r="J33" i="1"/>
  <c r="K33" i="1"/>
  <c r="L33" i="1"/>
  <c r="M33" i="1"/>
  <c r="N33" i="1"/>
  <c r="O33" i="1"/>
  <c r="P33" i="1"/>
  <c r="Q33" i="1"/>
  <c r="G34" i="1"/>
  <c r="R34" i="1" s="1"/>
  <c r="H34" i="1"/>
  <c r="I34" i="1"/>
  <c r="J34" i="1"/>
  <c r="K34" i="1"/>
  <c r="L34" i="1"/>
  <c r="M34" i="1"/>
  <c r="N34" i="1"/>
  <c r="O34" i="1"/>
  <c r="P34" i="1"/>
  <c r="Q34" i="1"/>
  <c r="G35" i="1"/>
  <c r="H35" i="1"/>
  <c r="R35" i="1" s="1"/>
  <c r="I35" i="1"/>
  <c r="J35" i="1"/>
  <c r="K35" i="1"/>
  <c r="L35" i="1"/>
  <c r="M35" i="1"/>
  <c r="N35" i="1"/>
  <c r="O35" i="1"/>
  <c r="P35" i="1"/>
  <c r="Q35" i="1"/>
  <c r="G36" i="1"/>
  <c r="R36" i="1" s="1"/>
  <c r="H36" i="1"/>
  <c r="I36" i="1"/>
  <c r="J36" i="1"/>
  <c r="K36" i="1"/>
  <c r="L36" i="1"/>
  <c r="M36" i="1"/>
  <c r="N36" i="1"/>
  <c r="O36" i="1"/>
  <c r="P36" i="1"/>
  <c r="Q36" i="1"/>
  <c r="G37" i="1"/>
  <c r="H37" i="1"/>
  <c r="R37" i="1" s="1"/>
  <c r="I37" i="1"/>
  <c r="J37" i="1"/>
  <c r="K37" i="1"/>
  <c r="L37" i="1"/>
  <c r="M37" i="1"/>
  <c r="N37" i="1"/>
  <c r="O37" i="1"/>
  <c r="P37" i="1"/>
  <c r="Q37" i="1"/>
  <c r="G38" i="1"/>
  <c r="R38" i="1" s="1"/>
  <c r="H38" i="1"/>
  <c r="I38" i="1"/>
  <c r="J38" i="1"/>
  <c r="K38" i="1"/>
  <c r="L38" i="1"/>
  <c r="M38" i="1"/>
  <c r="N38" i="1"/>
  <c r="O38" i="1"/>
  <c r="P38" i="1"/>
  <c r="Q38" i="1"/>
  <c r="G39" i="1"/>
  <c r="H39" i="1"/>
  <c r="R39" i="1" s="1"/>
  <c r="I39" i="1"/>
  <c r="J39" i="1"/>
  <c r="K39" i="1"/>
  <c r="L39" i="1"/>
  <c r="M39" i="1"/>
  <c r="N39" i="1"/>
  <c r="O39" i="1"/>
  <c r="P39" i="1"/>
  <c r="Q39" i="1"/>
  <c r="G40" i="1"/>
  <c r="R40" i="1" s="1"/>
  <c r="H40" i="1"/>
  <c r="I40" i="1"/>
  <c r="J40" i="1"/>
  <c r="K40" i="1"/>
  <c r="L40" i="1"/>
  <c r="M40" i="1"/>
  <c r="N40" i="1"/>
  <c r="O40" i="1"/>
  <c r="P40" i="1"/>
  <c r="Q40" i="1"/>
  <c r="G41" i="1"/>
  <c r="H41" i="1"/>
  <c r="R41" i="1" s="1"/>
  <c r="I41" i="1"/>
  <c r="J41" i="1"/>
  <c r="K41" i="1"/>
  <c r="L41" i="1"/>
  <c r="M41" i="1"/>
  <c r="N41" i="1"/>
  <c r="O41" i="1"/>
  <c r="P41" i="1"/>
  <c r="Q41" i="1"/>
  <c r="H10" i="1"/>
  <c r="I10" i="1"/>
  <c r="J10" i="1"/>
  <c r="K10" i="1"/>
  <c r="L10" i="1"/>
  <c r="M10" i="1"/>
  <c r="N10" i="1"/>
  <c r="O10" i="1"/>
  <c r="P10" i="1"/>
  <c r="Q10" i="1"/>
  <c r="U3" i="1" l="1"/>
  <c r="U13" i="1"/>
  <c r="Z13" i="1" s="1"/>
  <c r="AB13" i="1" s="1"/>
  <c r="U10" i="1"/>
  <c r="Z10" i="1" s="1"/>
  <c r="AB10" i="1" s="1"/>
  <c r="U14" i="1"/>
  <c r="Z14" i="1" s="1"/>
  <c r="AB14" i="1" s="1"/>
  <c r="U18" i="1"/>
  <c r="Z18" i="1" s="1"/>
  <c r="AB18" i="1" s="1"/>
  <c r="U15" i="1"/>
  <c r="Z15" i="1" s="1"/>
  <c r="AB15" i="1" s="1"/>
  <c r="U19" i="1"/>
  <c r="Z19" i="1" s="1"/>
  <c r="U11" i="1"/>
  <c r="Z11" i="1" s="1"/>
  <c r="U12" i="1"/>
  <c r="Z12" i="1" s="1"/>
  <c r="AB12" i="1" s="1"/>
  <c r="U16" i="1"/>
  <c r="Z16" i="1" s="1"/>
  <c r="AB16" i="1" s="1"/>
  <c r="U20" i="1"/>
  <c r="Z20" i="1" s="1"/>
  <c r="AB20" i="1" s="1"/>
  <c r="U17" i="1"/>
  <c r="Z17" i="1" s="1"/>
  <c r="AB17" i="1" s="1"/>
  <c r="U9" i="1"/>
  <c r="Z9" i="1" s="1"/>
  <c r="Y19" i="1"/>
  <c r="Y15" i="1"/>
  <c r="Y11" i="1"/>
  <c r="AC11" i="1" s="1"/>
  <c r="AA19" i="1"/>
  <c r="AA15" i="1"/>
  <c r="AC15" i="1" s="1"/>
  <c r="AB11" i="1" l="1"/>
  <c r="AD9" i="1" s="1"/>
  <c r="AB19" i="1"/>
  <c r="AC19" i="1"/>
  <c r="U4" i="1"/>
  <c r="U5" i="1"/>
</calcChain>
</file>

<file path=xl/sharedStrings.xml><?xml version="1.0" encoding="utf-8"?>
<sst xmlns="http://schemas.openxmlformats.org/spreadsheetml/2006/main" count="34" uniqueCount="26">
  <si>
    <t>Номер вар =</t>
  </si>
  <si>
    <t>G =</t>
  </si>
  <si>
    <t>Найти = Y, d*,tо, tи, A, Pо, Pи при p=0,1</t>
  </si>
  <si>
    <t>x</t>
  </si>
  <si>
    <t>y</t>
  </si>
  <si>
    <t>W</t>
  </si>
  <si>
    <t>p=</t>
  </si>
  <si>
    <t>d*=</t>
  </si>
  <si>
    <t>tо=</t>
  </si>
  <si>
    <t>tи=</t>
  </si>
  <si>
    <t>)</t>
  </si>
  <si>
    <t>Код =                     (</t>
  </si>
  <si>
    <t>i</t>
  </si>
  <si>
    <t>Ai</t>
  </si>
  <si>
    <t>СПЕКТР КОДА</t>
  </si>
  <si>
    <t>p^i</t>
  </si>
  <si>
    <t>q^(n-i)</t>
  </si>
  <si>
    <t>k=</t>
  </si>
  <si>
    <t>n=</t>
  </si>
  <si>
    <t>Pо</t>
  </si>
  <si>
    <t>Z</t>
  </si>
  <si>
    <t>Pно</t>
  </si>
  <si>
    <t>Pи</t>
  </si>
  <si>
    <t>p= (</t>
  </si>
  <si>
    <t>C^i_n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</si>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</sst>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0000"/>
    <numFmt numFmtId="171" formatCode="0.000000"/>
  </numFmts>
  <fonts count="1" x14ac:knownFonts="1">
    <font>
      <sz val="11"/>
      <color theme="1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1" fontId="0" fillId="0" borderId="1" xfId="0" applyNumberFormat="1" applyBorder="1"/>
    <xf numFmtId="2" fontId="0" fillId="8" borderId="1" xfId="0" applyNumberFormat="1" applyFill="1" applyBorder="1" applyAlignment="1">
      <alignment vertical="center"/>
    </xf>
    <xf numFmtId="2" fontId="0" fillId="8" borderId="1" xfId="0" applyNumberFormat="1" applyFill="1" applyBorder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Лист1!$AL$6:$AL$16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A-4CFC-8F2C-D797A645B7D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Лист1!$AM$6:$AM$16</c:f>
              <c:numCache>
                <c:formatCode>0.000000</c:formatCode>
                <c:ptCount val="11"/>
                <c:pt idx="0" formatCode="0">
                  <c:v>1</c:v>
                </c:pt>
                <c:pt idx="1">
                  <c:v>0.99995451093114751</c:v>
                </c:pt>
                <c:pt idx="2">
                  <c:v>0.99947862648999997</c:v>
                </c:pt>
                <c:pt idx="3">
                  <c:v>0.99814003801930173</c:v>
                </c:pt>
                <c:pt idx="4">
                  <c:v>0.99592497152000004</c:v>
                </c:pt>
                <c:pt idx="5">
                  <c:v>0.99320864677429199</c:v>
                </c:pt>
                <c:pt idx="6">
                  <c:v>0.99050960502999996</c:v>
                </c:pt>
                <c:pt idx="7">
                  <c:v>0.98824667306619629</c:v>
                </c:pt>
                <c:pt idx="8">
                  <c:v>0.98660509695999998</c:v>
                </c:pt>
                <c:pt idx="9">
                  <c:v>0.98553652317134277</c:v>
                </c:pt>
                <c:pt idx="10">
                  <c:v>0.98486328125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A-4CFC-8F2C-D797A645B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311216"/>
        <c:axId val="541994544"/>
      </c:lineChart>
      <c:catAx>
        <c:axId val="434311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1994544"/>
        <c:crosses val="autoZero"/>
        <c:auto val="1"/>
        <c:lblAlgn val="ctr"/>
        <c:lblOffset val="100"/>
        <c:noMultiLvlLbl val="0"/>
      </c:catAx>
      <c:valAx>
        <c:axId val="54199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431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517525</xdr:colOff>
      <xdr:row>3</xdr:row>
      <xdr:rowOff>22225</xdr:rowOff>
    </xdr:from>
    <xdr:to>
      <xdr:col>50</xdr:col>
      <xdr:colOff>212725</xdr:colOff>
      <xdr:row>18</xdr:row>
      <xdr:rowOff>3175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F61AE0A-6799-11F6-2573-6E0EDF824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140B-AE24-4E2D-A3C2-0194AF22AD04}">
  <dimension ref="A1:AN41"/>
  <sheetViews>
    <sheetView tabSelected="1" topLeftCell="AQ1" workbookViewId="0">
      <selection activeCell="AL6" sqref="AL6:AM16"/>
    </sheetView>
  </sheetViews>
  <sheetFormatPr defaultRowHeight="14.5" x14ac:dyDescent="0.35"/>
  <cols>
    <col min="1" max="1" width="13.453125" customWidth="1"/>
    <col min="2" max="17" width="3.6328125" customWidth="1"/>
    <col min="21" max="21" width="10.36328125" customWidth="1"/>
    <col min="28" max="28" width="15.1796875" customWidth="1"/>
    <col min="31" max="31" width="7.6328125" customWidth="1"/>
    <col min="39" max="39" width="11.1796875" customWidth="1"/>
    <col min="40" max="40" width="10.36328125" bestFit="1" customWidth="1"/>
  </cols>
  <sheetData>
    <row r="1" spans="1:40" x14ac:dyDescent="0.35">
      <c r="A1" t="s">
        <v>0</v>
      </c>
      <c r="B1" s="1">
        <v>2</v>
      </c>
      <c r="D1" s="15" t="s">
        <v>2</v>
      </c>
      <c r="E1" s="15"/>
      <c r="F1" s="15"/>
      <c r="G1" s="15"/>
      <c r="H1" s="15"/>
      <c r="I1" s="15"/>
      <c r="J1" s="15"/>
      <c r="K1" s="15"/>
      <c r="L1" s="15"/>
      <c r="M1" s="15"/>
    </row>
    <row r="2" spans="1:40" x14ac:dyDescent="0.35">
      <c r="A2" t="s">
        <v>11</v>
      </c>
      <c r="B2">
        <v>11</v>
      </c>
      <c r="C2">
        <v>5</v>
      </c>
      <c r="D2" t="s">
        <v>10</v>
      </c>
      <c r="E2" t="s">
        <v>18</v>
      </c>
      <c r="F2">
        <f>B2</f>
        <v>11</v>
      </c>
      <c r="H2" t="s">
        <v>17</v>
      </c>
      <c r="I2">
        <f>C2</f>
        <v>5</v>
      </c>
      <c r="K2" t="s">
        <v>23</v>
      </c>
      <c r="L2">
        <v>0</v>
      </c>
      <c r="M2">
        <v>1</v>
      </c>
      <c r="N2" t="s">
        <v>10</v>
      </c>
      <c r="T2" s="12" t="s">
        <v>6</v>
      </c>
      <c r="U2" s="11">
        <v>0.2</v>
      </c>
    </row>
    <row r="3" spans="1:40" x14ac:dyDescent="0.35">
      <c r="B3" s="2">
        <v>1</v>
      </c>
      <c r="C3" s="2">
        <v>0</v>
      </c>
      <c r="D3" s="2">
        <v>0</v>
      </c>
      <c r="E3" s="2">
        <v>0</v>
      </c>
      <c r="F3" s="2">
        <v>0</v>
      </c>
      <c r="G3" s="3">
        <v>0</v>
      </c>
      <c r="H3" s="2">
        <v>1</v>
      </c>
      <c r="I3" s="2">
        <v>1</v>
      </c>
      <c r="J3" s="2">
        <v>1</v>
      </c>
      <c r="K3" s="2">
        <v>0</v>
      </c>
      <c r="L3" s="2">
        <v>1</v>
      </c>
      <c r="T3" s="12" t="s">
        <v>7</v>
      </c>
      <c r="U3" s="13">
        <f>MIN(R11:R41)</f>
        <v>4</v>
      </c>
    </row>
    <row r="4" spans="1:40" x14ac:dyDescent="0.35">
      <c r="B4" s="2">
        <v>0</v>
      </c>
      <c r="C4" s="2">
        <v>1</v>
      </c>
      <c r="D4" s="2">
        <v>0</v>
      </c>
      <c r="E4" s="2">
        <v>0</v>
      </c>
      <c r="F4" s="2">
        <v>0</v>
      </c>
      <c r="G4" s="3">
        <v>0</v>
      </c>
      <c r="H4" s="2">
        <v>1</v>
      </c>
      <c r="I4" s="2">
        <v>0</v>
      </c>
      <c r="J4" s="2">
        <v>1</v>
      </c>
      <c r="K4" s="2">
        <v>1</v>
      </c>
      <c r="L4" s="2">
        <v>1</v>
      </c>
      <c r="T4" s="12" t="s">
        <v>8</v>
      </c>
      <c r="U4" s="13">
        <f>U3-1</f>
        <v>3</v>
      </c>
    </row>
    <row r="5" spans="1:40" x14ac:dyDescent="0.35">
      <c r="A5" s="8" t="s">
        <v>1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3">
        <v>0</v>
      </c>
      <c r="H5" s="2">
        <v>1</v>
      </c>
      <c r="I5" s="2">
        <v>1</v>
      </c>
      <c r="J5" s="2">
        <v>1</v>
      </c>
      <c r="K5" s="2">
        <v>1</v>
      </c>
      <c r="L5" s="2">
        <v>0</v>
      </c>
      <c r="T5" s="12" t="s">
        <v>9</v>
      </c>
      <c r="U5" s="13">
        <f>ROUNDDOWN((U3-1)/2,0)</f>
        <v>1</v>
      </c>
      <c r="AG5" s="16" t="s">
        <v>25</v>
      </c>
      <c r="AH5" s="16" t="s">
        <v>19</v>
      </c>
      <c r="AI5" s="16" t="s">
        <v>22</v>
      </c>
      <c r="AL5" s="19" t="s">
        <v>25</v>
      </c>
      <c r="AM5" s="19" t="s">
        <v>19</v>
      </c>
      <c r="AN5" s="19" t="s">
        <v>22</v>
      </c>
    </row>
    <row r="6" spans="1:40" x14ac:dyDescent="0.35">
      <c r="B6" s="2">
        <v>0</v>
      </c>
      <c r="C6" s="2">
        <v>0</v>
      </c>
      <c r="D6" s="2">
        <v>0</v>
      </c>
      <c r="E6" s="2">
        <v>1</v>
      </c>
      <c r="F6" s="2">
        <v>0</v>
      </c>
      <c r="G6" s="3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AG6" s="22">
        <v>0</v>
      </c>
      <c r="AH6" s="8"/>
      <c r="AI6" s="8"/>
      <c r="AL6" s="21">
        <v>0</v>
      </c>
      <c r="AM6" s="23">
        <v>1</v>
      </c>
      <c r="AN6" s="23">
        <v>1</v>
      </c>
    </row>
    <row r="7" spans="1:40" x14ac:dyDescent="0.35">
      <c r="B7" s="2">
        <v>0</v>
      </c>
      <c r="C7" s="2">
        <v>0</v>
      </c>
      <c r="D7" s="2">
        <v>0</v>
      </c>
      <c r="E7" s="2">
        <v>0</v>
      </c>
      <c r="F7" s="2">
        <v>1</v>
      </c>
      <c r="G7" s="3">
        <v>0</v>
      </c>
      <c r="H7" s="2">
        <v>0</v>
      </c>
      <c r="I7" s="2">
        <v>1</v>
      </c>
      <c r="J7" s="2">
        <v>1</v>
      </c>
      <c r="K7" s="2">
        <v>1</v>
      </c>
      <c r="L7" s="2">
        <v>1</v>
      </c>
      <c r="T7" s="14" t="s">
        <v>14</v>
      </c>
      <c r="U7" s="14"/>
      <c r="AG7" s="22">
        <f>AG6+0.05</f>
        <v>0.05</v>
      </c>
      <c r="AH7" s="17"/>
      <c r="AI7" s="8"/>
      <c r="AL7" s="21">
        <v>0.05</v>
      </c>
      <c r="AM7" s="20">
        <v>0.99995451093114751</v>
      </c>
      <c r="AN7" s="20">
        <v>0.89810540885756829</v>
      </c>
    </row>
    <row r="8" spans="1:40" x14ac:dyDescent="0.35">
      <c r="T8" s="11" t="s">
        <v>12</v>
      </c>
      <c r="U8" s="11" t="s">
        <v>13</v>
      </c>
      <c r="W8" s="5" t="s">
        <v>12</v>
      </c>
      <c r="X8" s="5" t="s">
        <v>15</v>
      </c>
      <c r="Y8" s="5" t="s">
        <v>16</v>
      </c>
      <c r="Z8" s="5" t="s">
        <v>13</v>
      </c>
      <c r="AA8" s="5" t="s">
        <v>24</v>
      </c>
      <c r="AB8" s="5" t="s">
        <v>21</v>
      </c>
      <c r="AC8" s="5" t="s">
        <v>20</v>
      </c>
      <c r="AD8" s="5" t="s">
        <v>19</v>
      </c>
      <c r="AE8" s="5" t="s">
        <v>22</v>
      </c>
      <c r="AG8" s="22">
        <f t="shared" ref="AG8:AG16" si="0">AG7+0.05</f>
        <v>0.1</v>
      </c>
      <c r="AH8" s="8"/>
      <c r="AI8" s="8"/>
      <c r="AL8" s="21">
        <v>0.1</v>
      </c>
      <c r="AM8" s="20">
        <v>0.99947862648999997</v>
      </c>
      <c r="AN8" s="20">
        <v>0.69735688020000031</v>
      </c>
    </row>
    <row r="9" spans="1:40" x14ac:dyDescent="0.35">
      <c r="B9" s="14" t="s">
        <v>3</v>
      </c>
      <c r="C9" s="14"/>
      <c r="D9" s="14"/>
      <c r="E9" s="14"/>
      <c r="F9" s="14"/>
      <c r="G9" s="14" t="s">
        <v>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5" t="s">
        <v>5</v>
      </c>
      <c r="T9" s="11">
        <v>0</v>
      </c>
      <c r="U9" s="13">
        <f>COUNTIF($R$10:$R$41,T9)</f>
        <v>1</v>
      </c>
      <c r="W9" s="9">
        <v>0</v>
      </c>
      <c r="X9" s="9">
        <f>POWER($U$2,W9)</f>
        <v>1</v>
      </c>
      <c r="Y9" s="9">
        <f>POWER((1-$U$2),$F$2-T9)</f>
        <v>8.5899345920000092E-2</v>
      </c>
      <c r="Z9" s="9">
        <f>U9</f>
        <v>1</v>
      </c>
      <c r="AA9" s="9">
        <f>FACT($F$2)/(FACT(W9)*FACT($F$2-W9))</f>
        <v>1</v>
      </c>
      <c r="AB9" s="18">
        <f>Z9*X9*Y9</f>
        <v>8.5899345920000092E-2</v>
      </c>
      <c r="AC9" s="9">
        <f>AA9*X9*Y9</f>
        <v>8.5899345920000092E-2</v>
      </c>
      <c r="AD9" s="13">
        <f>1-SUM(AB9:AB20)</f>
        <v>0.91027728383999995</v>
      </c>
      <c r="AE9" s="13">
        <f>SUM(AC9:AC10)</f>
        <v>0.32212254720000033</v>
      </c>
      <c r="AG9" s="22">
        <f t="shared" si="0"/>
        <v>0.15000000000000002</v>
      </c>
      <c r="AH9" s="8"/>
      <c r="AI9" s="8"/>
      <c r="AL9" s="21">
        <v>0.15000000000000002</v>
      </c>
      <c r="AM9" s="20">
        <v>0.99814003801930173</v>
      </c>
      <c r="AN9" s="20">
        <v>0.49218601085180647</v>
      </c>
    </row>
    <row r="10" spans="1:40" x14ac:dyDescent="0.35"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7">
        <f>MOD(B$3*$B10+B$4*$C10+B$5*$D10+B$6*$E10+B$7*$F10,2)</f>
        <v>0</v>
      </c>
      <c r="H10" s="7">
        <f t="shared" ref="H10:Q10" si="1">MOD(C$3*$B10+C$4*$C10+C$5*$D10+C$6*$E10+C$7*$F10,2)</f>
        <v>0</v>
      </c>
      <c r="I10" s="7">
        <f t="shared" si="1"/>
        <v>0</v>
      </c>
      <c r="J10" s="7">
        <f t="shared" si="1"/>
        <v>0</v>
      </c>
      <c r="K10" s="7">
        <f t="shared" si="1"/>
        <v>0</v>
      </c>
      <c r="L10" s="7">
        <f t="shared" si="1"/>
        <v>0</v>
      </c>
      <c r="M10" s="7">
        <f t="shared" si="1"/>
        <v>0</v>
      </c>
      <c r="N10" s="7">
        <f t="shared" si="1"/>
        <v>0</v>
      </c>
      <c r="O10" s="7">
        <f t="shared" si="1"/>
        <v>0</v>
      </c>
      <c r="P10" s="7">
        <f t="shared" si="1"/>
        <v>0</v>
      </c>
      <c r="Q10" s="7">
        <f t="shared" si="1"/>
        <v>0</v>
      </c>
      <c r="R10" s="10">
        <f>SUM(G10:Q10)</f>
        <v>0</v>
      </c>
      <c r="T10" s="11">
        <v>1</v>
      </c>
      <c r="U10" s="13">
        <f t="shared" ref="U10:U20" si="2">COUNTIF($R$10:$R$41,T10)</f>
        <v>0</v>
      </c>
      <c r="W10" s="9">
        <v>1</v>
      </c>
      <c r="X10" s="9">
        <f t="shared" ref="X10:X20" si="3">POWER($U$2,W10)</f>
        <v>0.2</v>
      </c>
      <c r="Y10" s="9">
        <f t="shared" ref="Y10:Y20" si="4">POWER((1-$U$2),$F$2-T10)</f>
        <v>0.10737418240000011</v>
      </c>
      <c r="Z10" s="9">
        <f t="shared" ref="Z10:Z19" si="5">U10</f>
        <v>0</v>
      </c>
      <c r="AA10" s="9">
        <f t="shared" ref="AA10:AA20" si="6">FACT($F$2)/(FACT(W10)*FACT($F$2-W10))</f>
        <v>11</v>
      </c>
      <c r="AB10" s="18">
        <f t="shared" ref="AB10:AB20" si="7">Z10*X10*Y10</f>
        <v>0</v>
      </c>
      <c r="AC10" s="9">
        <f t="shared" ref="AC10:AC20" si="8">AA10*X10*Y10</f>
        <v>0.23622320128000027</v>
      </c>
      <c r="AG10" s="22">
        <f t="shared" si="0"/>
        <v>0.2</v>
      </c>
      <c r="AH10" s="8"/>
      <c r="AI10" s="8"/>
      <c r="AL10" s="21">
        <v>0.2</v>
      </c>
      <c r="AM10" s="20">
        <v>0.99592497152000004</v>
      </c>
      <c r="AN10" s="20">
        <v>0.32212254720000033</v>
      </c>
    </row>
    <row r="11" spans="1:40" x14ac:dyDescent="0.35">
      <c r="B11" s="6">
        <v>0</v>
      </c>
      <c r="C11" s="6">
        <v>0</v>
      </c>
      <c r="D11" s="6">
        <v>0</v>
      </c>
      <c r="E11" s="6">
        <v>0</v>
      </c>
      <c r="F11" s="6">
        <v>1</v>
      </c>
      <c r="G11" s="7">
        <f t="shared" ref="G11:G41" si="9">MOD(B$3*$B11+B$4*$C11+B$5*$D11+B$6*$E11+B$7*$F11,2)</f>
        <v>0</v>
      </c>
      <c r="H11" s="7">
        <f t="shared" ref="H11:H41" si="10">MOD(C$3*$B11+C$4*$C11+C$5*$D11+C$6*$E11+C$7*$F11,2)</f>
        <v>0</v>
      </c>
      <c r="I11" s="7">
        <f t="shared" ref="I11:I41" si="11">MOD(D$3*$B11+D$4*$C11+D$5*$D11+D$6*$E11+D$7*$F11,2)</f>
        <v>0</v>
      </c>
      <c r="J11" s="7">
        <f t="shared" ref="J11:J41" si="12">MOD(E$3*$B11+E$4*$C11+E$5*$D11+E$6*$E11+E$7*$F11,2)</f>
        <v>0</v>
      </c>
      <c r="K11" s="7">
        <f t="shared" ref="K11:K41" si="13">MOD(F$3*$B11+F$4*$C11+F$5*$D11+F$6*$E11+F$7*$F11,2)</f>
        <v>1</v>
      </c>
      <c r="L11" s="7">
        <f t="shared" ref="L11:L41" si="14">MOD(G$3*$B11+G$4*$C11+G$5*$D11+G$6*$E11+G$7*$F11,2)</f>
        <v>0</v>
      </c>
      <c r="M11" s="7">
        <f t="shared" ref="M11:M41" si="15">MOD(H$3*$B11+H$4*$C11+H$5*$D11+H$6*$E11+H$7*$F11,2)</f>
        <v>0</v>
      </c>
      <c r="N11" s="7">
        <f t="shared" ref="N11:N41" si="16">MOD(I$3*$B11+I$4*$C11+I$5*$D11+I$6*$E11+I$7*$F11,2)</f>
        <v>1</v>
      </c>
      <c r="O11" s="7">
        <f t="shared" ref="O11:O41" si="17">MOD(J$3*$B11+J$4*$C11+J$5*$D11+J$6*$E11+J$7*$F11,2)</f>
        <v>1</v>
      </c>
      <c r="P11" s="7">
        <f t="shared" ref="P11:P41" si="18">MOD(K$3*$B11+K$4*$C11+K$5*$D11+K$6*$E11+K$7*$F11,2)</f>
        <v>1</v>
      </c>
      <c r="Q11" s="7">
        <f t="shared" ref="Q11:Q41" si="19">MOD(L$3*$B11+L$4*$C11+L$5*$D11+L$6*$E11+L$7*$F11,2)</f>
        <v>1</v>
      </c>
      <c r="R11" s="10">
        <f t="shared" ref="R11:R41" si="20">SUM(G11:Q11)</f>
        <v>5</v>
      </c>
      <c r="T11" s="11">
        <v>2</v>
      </c>
      <c r="U11" s="13">
        <f t="shared" si="2"/>
        <v>0</v>
      </c>
      <c r="W11" s="9">
        <v>2</v>
      </c>
      <c r="X11" s="9">
        <f t="shared" si="3"/>
        <v>4.0000000000000008E-2</v>
      </c>
      <c r="Y11" s="9">
        <f t="shared" si="4"/>
        <v>0.13421772800000012</v>
      </c>
      <c r="Z11" s="9">
        <f t="shared" si="5"/>
        <v>0</v>
      </c>
      <c r="AA11" s="9">
        <f t="shared" si="6"/>
        <v>55</v>
      </c>
      <c r="AB11" s="18">
        <f t="shared" si="7"/>
        <v>0</v>
      </c>
      <c r="AC11" s="9">
        <f t="shared" si="8"/>
        <v>0.29527900160000037</v>
      </c>
      <c r="AG11" s="22">
        <f t="shared" si="0"/>
        <v>0.25</v>
      </c>
      <c r="AH11" s="8"/>
      <c r="AI11" s="8"/>
      <c r="AL11" s="21">
        <v>0.25</v>
      </c>
      <c r="AM11" s="20">
        <v>0.99320864677429199</v>
      </c>
      <c r="AN11" s="20">
        <v>0.1970973014831543</v>
      </c>
    </row>
    <row r="12" spans="1:40" x14ac:dyDescent="0.35">
      <c r="B12" s="6">
        <v>0</v>
      </c>
      <c r="C12" s="6">
        <v>0</v>
      </c>
      <c r="D12" s="6">
        <v>0</v>
      </c>
      <c r="E12" s="6">
        <v>1</v>
      </c>
      <c r="F12" s="6">
        <v>0</v>
      </c>
      <c r="G12" s="7">
        <f t="shared" si="9"/>
        <v>0</v>
      </c>
      <c r="H12" s="7">
        <f t="shared" si="10"/>
        <v>0</v>
      </c>
      <c r="I12" s="7">
        <f t="shared" si="11"/>
        <v>0</v>
      </c>
      <c r="J12" s="7">
        <f t="shared" si="12"/>
        <v>1</v>
      </c>
      <c r="K12" s="7">
        <f t="shared" si="13"/>
        <v>0</v>
      </c>
      <c r="L12" s="7">
        <f t="shared" si="14"/>
        <v>1</v>
      </c>
      <c r="M12" s="7">
        <f t="shared" si="15"/>
        <v>1</v>
      </c>
      <c r="N12" s="7">
        <f t="shared" si="16"/>
        <v>1</v>
      </c>
      <c r="O12" s="7">
        <f t="shared" si="17"/>
        <v>1</v>
      </c>
      <c r="P12" s="7">
        <f t="shared" si="18"/>
        <v>1</v>
      </c>
      <c r="Q12" s="7">
        <f t="shared" si="19"/>
        <v>1</v>
      </c>
      <c r="R12" s="10">
        <f t="shared" si="20"/>
        <v>7</v>
      </c>
      <c r="T12" s="11">
        <v>3</v>
      </c>
      <c r="U12" s="13">
        <f t="shared" si="2"/>
        <v>0</v>
      </c>
      <c r="W12" s="9">
        <v>3</v>
      </c>
      <c r="X12" s="9">
        <f t="shared" si="3"/>
        <v>8.0000000000000019E-3</v>
      </c>
      <c r="Y12" s="9">
        <f t="shared" si="4"/>
        <v>0.16777216000000014</v>
      </c>
      <c r="Z12" s="9">
        <f t="shared" si="5"/>
        <v>0</v>
      </c>
      <c r="AA12" s="9">
        <f t="shared" si="6"/>
        <v>165</v>
      </c>
      <c r="AB12" s="18">
        <f t="shared" si="7"/>
        <v>0</v>
      </c>
      <c r="AC12" s="9">
        <f t="shared" si="8"/>
        <v>0.22145925120000023</v>
      </c>
      <c r="AG12" s="22">
        <f t="shared" si="0"/>
        <v>0.3</v>
      </c>
      <c r="AH12" s="8"/>
      <c r="AI12" s="8"/>
      <c r="AL12" s="21">
        <v>0.3</v>
      </c>
      <c r="AM12" s="20">
        <v>0.99050960502999996</v>
      </c>
      <c r="AN12" s="20">
        <v>0.11299009959999992</v>
      </c>
    </row>
    <row r="13" spans="1:40" x14ac:dyDescent="0.35">
      <c r="B13" s="6">
        <v>0</v>
      </c>
      <c r="C13" s="6">
        <v>0</v>
      </c>
      <c r="D13" s="6">
        <v>0</v>
      </c>
      <c r="E13" s="6">
        <v>1</v>
      </c>
      <c r="F13" s="6">
        <v>1</v>
      </c>
      <c r="G13" s="7">
        <f t="shared" si="9"/>
        <v>0</v>
      </c>
      <c r="H13" s="7">
        <f t="shared" si="10"/>
        <v>0</v>
      </c>
      <c r="I13" s="7">
        <f t="shared" si="11"/>
        <v>0</v>
      </c>
      <c r="J13" s="7">
        <f t="shared" si="12"/>
        <v>1</v>
      </c>
      <c r="K13" s="7">
        <f t="shared" si="13"/>
        <v>1</v>
      </c>
      <c r="L13" s="7">
        <f t="shared" si="14"/>
        <v>1</v>
      </c>
      <c r="M13" s="7">
        <f t="shared" si="15"/>
        <v>1</v>
      </c>
      <c r="N13" s="7">
        <f t="shared" si="16"/>
        <v>0</v>
      </c>
      <c r="O13" s="7">
        <f t="shared" si="17"/>
        <v>0</v>
      </c>
      <c r="P13" s="7">
        <f t="shared" si="18"/>
        <v>0</v>
      </c>
      <c r="Q13" s="7">
        <f t="shared" si="19"/>
        <v>0</v>
      </c>
      <c r="R13" s="10">
        <f t="shared" si="20"/>
        <v>4</v>
      </c>
      <c r="T13" s="11">
        <v>4</v>
      </c>
      <c r="U13" s="13">
        <f t="shared" si="2"/>
        <v>9</v>
      </c>
      <c r="W13" s="9">
        <v>4</v>
      </c>
      <c r="X13" s="9">
        <f t="shared" si="3"/>
        <v>1.6000000000000007E-3</v>
      </c>
      <c r="Y13" s="9">
        <f t="shared" si="4"/>
        <v>0.20971520000000016</v>
      </c>
      <c r="Z13" s="9">
        <f t="shared" si="5"/>
        <v>9</v>
      </c>
      <c r="AA13" s="9">
        <f t="shared" si="6"/>
        <v>330</v>
      </c>
      <c r="AB13" s="18">
        <f t="shared" si="7"/>
        <v>3.0198988800000034E-3</v>
      </c>
      <c r="AC13" s="9">
        <f t="shared" si="8"/>
        <v>0.11072962560000013</v>
      </c>
      <c r="AG13" s="22">
        <f t="shared" si="0"/>
        <v>0.35</v>
      </c>
      <c r="AH13" s="8"/>
      <c r="AI13" s="8"/>
      <c r="AL13" s="21">
        <v>0.35</v>
      </c>
      <c r="AM13" s="20">
        <v>0.98824667306619629</v>
      </c>
      <c r="AN13" s="20">
        <v>6.0582345050830093E-2</v>
      </c>
    </row>
    <row r="14" spans="1:40" x14ac:dyDescent="0.35">
      <c r="B14" s="6">
        <v>0</v>
      </c>
      <c r="C14" s="6">
        <v>0</v>
      </c>
      <c r="D14" s="6">
        <v>1</v>
      </c>
      <c r="E14" s="6">
        <v>0</v>
      </c>
      <c r="F14" s="6">
        <v>0</v>
      </c>
      <c r="G14" s="7">
        <f t="shared" si="9"/>
        <v>0</v>
      </c>
      <c r="H14" s="7">
        <f t="shared" si="10"/>
        <v>0</v>
      </c>
      <c r="I14" s="7">
        <f t="shared" si="11"/>
        <v>1</v>
      </c>
      <c r="J14" s="7">
        <f t="shared" si="12"/>
        <v>0</v>
      </c>
      <c r="K14" s="7">
        <f t="shared" si="13"/>
        <v>0</v>
      </c>
      <c r="L14" s="7">
        <f t="shared" si="14"/>
        <v>0</v>
      </c>
      <c r="M14" s="7">
        <f t="shared" si="15"/>
        <v>1</v>
      </c>
      <c r="N14" s="7">
        <f t="shared" si="16"/>
        <v>1</v>
      </c>
      <c r="O14" s="7">
        <f t="shared" si="17"/>
        <v>1</v>
      </c>
      <c r="P14" s="7">
        <f t="shared" si="18"/>
        <v>1</v>
      </c>
      <c r="Q14" s="7">
        <f t="shared" si="19"/>
        <v>0</v>
      </c>
      <c r="R14" s="10">
        <f t="shared" si="20"/>
        <v>5</v>
      </c>
      <c r="T14" s="11">
        <v>5</v>
      </c>
      <c r="U14" s="13">
        <f t="shared" si="2"/>
        <v>9</v>
      </c>
      <c r="W14" s="9">
        <v>5</v>
      </c>
      <c r="X14" s="9">
        <f t="shared" si="3"/>
        <v>3.2000000000000019E-4</v>
      </c>
      <c r="Y14" s="9">
        <f t="shared" si="4"/>
        <v>0.26214400000000015</v>
      </c>
      <c r="Z14" s="9">
        <f t="shared" si="5"/>
        <v>9</v>
      </c>
      <c r="AA14" s="9">
        <f t="shared" si="6"/>
        <v>462</v>
      </c>
      <c r="AB14" s="18">
        <f t="shared" si="7"/>
        <v>7.5497472000000086E-4</v>
      </c>
      <c r="AC14" s="9">
        <f t="shared" si="8"/>
        <v>3.8755368960000043E-2</v>
      </c>
      <c r="AG14" s="22">
        <f t="shared" si="0"/>
        <v>0.39999999999999997</v>
      </c>
      <c r="AH14" s="8"/>
      <c r="AI14" s="8"/>
      <c r="AL14" s="21">
        <v>0.39999999999999997</v>
      </c>
      <c r="AM14" s="20">
        <v>0.98660509695999998</v>
      </c>
      <c r="AN14" s="20">
        <v>3.0233088000000036E-2</v>
      </c>
    </row>
    <row r="15" spans="1:40" x14ac:dyDescent="0.35">
      <c r="B15" s="6">
        <v>0</v>
      </c>
      <c r="C15" s="6">
        <v>0</v>
      </c>
      <c r="D15" s="6">
        <v>1</v>
      </c>
      <c r="E15" s="6">
        <v>0</v>
      </c>
      <c r="F15" s="6">
        <v>0</v>
      </c>
      <c r="G15" s="7">
        <f t="shared" si="9"/>
        <v>0</v>
      </c>
      <c r="H15" s="7">
        <f t="shared" si="10"/>
        <v>0</v>
      </c>
      <c r="I15" s="7">
        <f t="shared" si="11"/>
        <v>1</v>
      </c>
      <c r="J15" s="7">
        <f t="shared" si="12"/>
        <v>0</v>
      </c>
      <c r="K15" s="7">
        <f t="shared" si="13"/>
        <v>0</v>
      </c>
      <c r="L15" s="7">
        <f t="shared" si="14"/>
        <v>0</v>
      </c>
      <c r="M15" s="7">
        <f t="shared" si="15"/>
        <v>1</v>
      </c>
      <c r="N15" s="7">
        <f t="shared" si="16"/>
        <v>1</v>
      </c>
      <c r="O15" s="7">
        <f t="shared" si="17"/>
        <v>1</v>
      </c>
      <c r="P15" s="7">
        <f t="shared" si="18"/>
        <v>1</v>
      </c>
      <c r="Q15" s="7">
        <f t="shared" si="19"/>
        <v>0</v>
      </c>
      <c r="R15" s="10">
        <f t="shared" si="20"/>
        <v>5</v>
      </c>
      <c r="T15" s="11">
        <v>6</v>
      </c>
      <c r="U15" s="13">
        <f t="shared" si="2"/>
        <v>0</v>
      </c>
      <c r="W15" s="9">
        <v>6</v>
      </c>
      <c r="X15" s="9">
        <f t="shared" si="3"/>
        <v>6.4000000000000038E-5</v>
      </c>
      <c r="Y15" s="9">
        <f t="shared" si="4"/>
        <v>0.32768000000000019</v>
      </c>
      <c r="Z15" s="9">
        <f t="shared" si="5"/>
        <v>0</v>
      </c>
      <c r="AA15" s="9">
        <f t="shared" si="6"/>
        <v>462</v>
      </c>
      <c r="AB15" s="18">
        <f t="shared" si="7"/>
        <v>0</v>
      </c>
      <c r="AC15" s="9">
        <f t="shared" si="8"/>
        <v>9.6888422400000108E-3</v>
      </c>
      <c r="AG15" s="22">
        <f t="shared" si="0"/>
        <v>0.44999999999999996</v>
      </c>
      <c r="AH15" s="8"/>
      <c r="AI15" s="8"/>
      <c r="AL15" s="21">
        <v>0.44999999999999996</v>
      </c>
      <c r="AM15" s="20">
        <v>0.98553652317134277</v>
      </c>
      <c r="AN15" s="20">
        <v>1.3931233916552741E-2</v>
      </c>
    </row>
    <row r="16" spans="1:40" x14ac:dyDescent="0.35">
      <c r="B16" s="6">
        <v>0</v>
      </c>
      <c r="C16" s="6">
        <v>0</v>
      </c>
      <c r="D16" s="6">
        <v>1</v>
      </c>
      <c r="E16" s="6">
        <v>1</v>
      </c>
      <c r="F16" s="6">
        <v>1</v>
      </c>
      <c r="G16" s="7">
        <f t="shared" si="9"/>
        <v>0</v>
      </c>
      <c r="H16" s="7">
        <f t="shared" si="10"/>
        <v>0</v>
      </c>
      <c r="I16" s="7">
        <f t="shared" si="11"/>
        <v>1</v>
      </c>
      <c r="J16" s="7">
        <f t="shared" si="12"/>
        <v>1</v>
      </c>
      <c r="K16" s="7">
        <f t="shared" si="13"/>
        <v>1</v>
      </c>
      <c r="L16" s="7">
        <f t="shared" si="14"/>
        <v>1</v>
      </c>
      <c r="M16" s="7">
        <f t="shared" si="15"/>
        <v>0</v>
      </c>
      <c r="N16" s="7">
        <f t="shared" si="16"/>
        <v>1</v>
      </c>
      <c r="O16" s="7">
        <f t="shared" si="17"/>
        <v>1</v>
      </c>
      <c r="P16" s="7">
        <f t="shared" si="18"/>
        <v>1</v>
      </c>
      <c r="Q16" s="7">
        <f t="shared" si="19"/>
        <v>0</v>
      </c>
      <c r="R16" s="10">
        <f t="shared" si="20"/>
        <v>7</v>
      </c>
      <c r="T16" s="11">
        <v>7</v>
      </c>
      <c r="U16" s="13">
        <f t="shared" si="2"/>
        <v>8</v>
      </c>
      <c r="W16" s="9">
        <v>7</v>
      </c>
      <c r="X16" s="9">
        <f t="shared" si="3"/>
        <v>1.280000000000001E-5</v>
      </c>
      <c r="Y16" s="9">
        <f t="shared" si="4"/>
        <v>0.40960000000000019</v>
      </c>
      <c r="Z16" s="9">
        <f t="shared" si="5"/>
        <v>8</v>
      </c>
      <c r="AA16" s="9">
        <f t="shared" si="6"/>
        <v>330</v>
      </c>
      <c r="AB16" s="18">
        <f t="shared" si="7"/>
        <v>4.1943040000000052E-5</v>
      </c>
      <c r="AC16" s="9">
        <f t="shared" si="8"/>
        <v>1.730150400000002E-3</v>
      </c>
      <c r="AG16" s="22">
        <f t="shared" si="0"/>
        <v>0.49999999999999994</v>
      </c>
      <c r="AH16" s="8"/>
      <c r="AI16" s="8"/>
      <c r="AL16" s="21">
        <v>0.49999999999999994</v>
      </c>
      <c r="AM16" s="20">
        <v>0.98486328125</v>
      </c>
      <c r="AN16" s="20">
        <v>5.8593749999999991E-3</v>
      </c>
    </row>
    <row r="17" spans="2:29" x14ac:dyDescent="0.35">
      <c r="B17" s="6">
        <v>0</v>
      </c>
      <c r="C17" s="6">
        <v>0</v>
      </c>
      <c r="D17" s="6">
        <v>1</v>
      </c>
      <c r="E17" s="6">
        <v>1</v>
      </c>
      <c r="F17" s="6">
        <v>0</v>
      </c>
      <c r="G17" s="7">
        <f t="shared" si="9"/>
        <v>0</v>
      </c>
      <c r="H17" s="7">
        <f t="shared" si="10"/>
        <v>0</v>
      </c>
      <c r="I17" s="7">
        <f t="shared" si="11"/>
        <v>1</v>
      </c>
      <c r="J17" s="7">
        <f t="shared" si="12"/>
        <v>1</v>
      </c>
      <c r="K17" s="7">
        <f t="shared" si="13"/>
        <v>0</v>
      </c>
      <c r="L17" s="7">
        <f t="shared" si="14"/>
        <v>1</v>
      </c>
      <c r="M17" s="7">
        <f t="shared" si="15"/>
        <v>0</v>
      </c>
      <c r="N17" s="7">
        <f t="shared" si="16"/>
        <v>0</v>
      </c>
      <c r="O17" s="7">
        <f t="shared" si="17"/>
        <v>0</v>
      </c>
      <c r="P17" s="7">
        <f t="shared" si="18"/>
        <v>0</v>
      </c>
      <c r="Q17" s="7">
        <f t="shared" si="19"/>
        <v>1</v>
      </c>
      <c r="R17" s="10">
        <f t="shared" si="20"/>
        <v>4</v>
      </c>
      <c r="T17" s="11">
        <v>8</v>
      </c>
      <c r="U17" s="13">
        <f t="shared" si="2"/>
        <v>5</v>
      </c>
      <c r="W17" s="9">
        <v>8</v>
      </c>
      <c r="X17" s="9">
        <f t="shared" si="3"/>
        <v>2.5600000000000022E-6</v>
      </c>
      <c r="Y17" s="9">
        <f t="shared" si="4"/>
        <v>0.51200000000000012</v>
      </c>
      <c r="Z17" s="9">
        <f t="shared" si="5"/>
        <v>5</v>
      </c>
      <c r="AA17" s="9">
        <f t="shared" si="6"/>
        <v>165</v>
      </c>
      <c r="AB17" s="18">
        <f t="shared" si="7"/>
        <v>6.553600000000007E-6</v>
      </c>
      <c r="AC17" s="9">
        <f t="shared" si="8"/>
        <v>2.1626880000000023E-4</v>
      </c>
    </row>
    <row r="18" spans="2:29" x14ac:dyDescent="0.35">
      <c r="B18" s="6">
        <v>0</v>
      </c>
      <c r="C18" s="6">
        <v>1</v>
      </c>
      <c r="D18" s="6">
        <v>0</v>
      </c>
      <c r="E18" s="6">
        <v>0</v>
      </c>
      <c r="F18" s="6">
        <v>1</v>
      </c>
      <c r="G18" s="7">
        <f t="shared" si="9"/>
        <v>0</v>
      </c>
      <c r="H18" s="7">
        <f t="shared" si="10"/>
        <v>1</v>
      </c>
      <c r="I18" s="7">
        <f t="shared" si="11"/>
        <v>0</v>
      </c>
      <c r="J18" s="7">
        <f t="shared" si="12"/>
        <v>0</v>
      </c>
      <c r="K18" s="7">
        <f t="shared" si="13"/>
        <v>1</v>
      </c>
      <c r="L18" s="7">
        <f t="shared" si="14"/>
        <v>0</v>
      </c>
      <c r="M18" s="7">
        <f t="shared" si="15"/>
        <v>1</v>
      </c>
      <c r="N18" s="7">
        <f t="shared" si="16"/>
        <v>1</v>
      </c>
      <c r="O18" s="7">
        <f t="shared" si="17"/>
        <v>0</v>
      </c>
      <c r="P18" s="7">
        <f t="shared" si="18"/>
        <v>0</v>
      </c>
      <c r="Q18" s="7">
        <f t="shared" si="19"/>
        <v>0</v>
      </c>
      <c r="R18" s="10">
        <f t="shared" si="20"/>
        <v>4</v>
      </c>
      <c r="T18" s="11">
        <v>9</v>
      </c>
      <c r="U18" s="13">
        <f t="shared" si="2"/>
        <v>0</v>
      </c>
      <c r="W18" s="9">
        <v>9</v>
      </c>
      <c r="X18" s="9">
        <f t="shared" si="3"/>
        <v>5.1200000000000046E-7</v>
      </c>
      <c r="Y18" s="9">
        <f t="shared" si="4"/>
        <v>0.64000000000000012</v>
      </c>
      <c r="Z18" s="9">
        <f t="shared" si="5"/>
        <v>0</v>
      </c>
      <c r="AA18" s="9">
        <f t="shared" si="6"/>
        <v>55</v>
      </c>
      <c r="AB18" s="18">
        <f t="shared" si="7"/>
        <v>0</v>
      </c>
      <c r="AC18" s="9">
        <f t="shared" si="8"/>
        <v>1.8022400000000019E-5</v>
      </c>
    </row>
    <row r="19" spans="2:29" x14ac:dyDescent="0.35">
      <c r="B19" s="6">
        <v>0</v>
      </c>
      <c r="C19" s="6">
        <v>1</v>
      </c>
      <c r="D19" s="6">
        <v>0</v>
      </c>
      <c r="E19" s="6">
        <v>0</v>
      </c>
      <c r="F19" s="6">
        <v>0</v>
      </c>
      <c r="G19" s="7">
        <f t="shared" si="9"/>
        <v>0</v>
      </c>
      <c r="H19" s="7">
        <f t="shared" si="10"/>
        <v>1</v>
      </c>
      <c r="I19" s="7">
        <f t="shared" si="11"/>
        <v>0</v>
      </c>
      <c r="J19" s="7">
        <f t="shared" si="12"/>
        <v>0</v>
      </c>
      <c r="K19" s="7">
        <f t="shared" si="13"/>
        <v>0</v>
      </c>
      <c r="L19" s="7">
        <f t="shared" si="14"/>
        <v>0</v>
      </c>
      <c r="M19" s="7">
        <f t="shared" si="15"/>
        <v>1</v>
      </c>
      <c r="N19" s="7">
        <f t="shared" si="16"/>
        <v>0</v>
      </c>
      <c r="O19" s="7">
        <f t="shared" si="17"/>
        <v>1</v>
      </c>
      <c r="P19" s="7">
        <f t="shared" si="18"/>
        <v>1</v>
      </c>
      <c r="Q19" s="7">
        <f t="shared" si="19"/>
        <v>1</v>
      </c>
      <c r="R19" s="10">
        <f t="shared" si="20"/>
        <v>5</v>
      </c>
      <c r="T19" s="11">
        <v>10</v>
      </c>
      <c r="U19" s="13">
        <f t="shared" si="2"/>
        <v>0</v>
      </c>
      <c r="W19" s="9">
        <v>10</v>
      </c>
      <c r="X19" s="9">
        <f t="shared" si="3"/>
        <v>1.0240000000000011E-7</v>
      </c>
      <c r="Y19" s="9">
        <f t="shared" si="4"/>
        <v>0.8</v>
      </c>
      <c r="Z19" s="9">
        <f t="shared" si="5"/>
        <v>0</v>
      </c>
      <c r="AA19" s="9">
        <f t="shared" si="6"/>
        <v>11</v>
      </c>
      <c r="AB19" s="18">
        <f t="shared" si="7"/>
        <v>0</v>
      </c>
      <c r="AC19" s="9">
        <f t="shared" si="8"/>
        <v>9.0112000000000102E-7</v>
      </c>
    </row>
    <row r="20" spans="2:29" x14ac:dyDescent="0.35">
      <c r="B20" s="6">
        <v>0</v>
      </c>
      <c r="C20" s="6">
        <v>1</v>
      </c>
      <c r="D20" s="6">
        <v>0</v>
      </c>
      <c r="E20" s="6">
        <v>1</v>
      </c>
      <c r="F20" s="6">
        <v>1</v>
      </c>
      <c r="G20" s="7">
        <f t="shared" si="9"/>
        <v>0</v>
      </c>
      <c r="H20" s="7">
        <f t="shared" si="10"/>
        <v>1</v>
      </c>
      <c r="I20" s="7">
        <f t="shared" si="11"/>
        <v>0</v>
      </c>
      <c r="J20" s="7">
        <f t="shared" si="12"/>
        <v>1</v>
      </c>
      <c r="K20" s="7">
        <f t="shared" si="13"/>
        <v>1</v>
      </c>
      <c r="L20" s="7">
        <f t="shared" si="14"/>
        <v>1</v>
      </c>
      <c r="M20" s="7">
        <f t="shared" si="15"/>
        <v>0</v>
      </c>
      <c r="N20" s="7">
        <f t="shared" si="16"/>
        <v>0</v>
      </c>
      <c r="O20" s="7">
        <f t="shared" si="17"/>
        <v>1</v>
      </c>
      <c r="P20" s="7">
        <f t="shared" si="18"/>
        <v>1</v>
      </c>
      <c r="Q20" s="7">
        <f t="shared" si="19"/>
        <v>1</v>
      </c>
      <c r="R20" s="10">
        <f t="shared" si="20"/>
        <v>7</v>
      </c>
      <c r="T20" s="11">
        <v>11</v>
      </c>
      <c r="U20" s="13">
        <f t="shared" si="2"/>
        <v>0</v>
      </c>
      <c r="W20" s="9">
        <v>11</v>
      </c>
      <c r="X20" s="9">
        <f t="shared" si="3"/>
        <v>2.0480000000000022E-8</v>
      </c>
      <c r="Y20" s="9">
        <f t="shared" si="4"/>
        <v>1</v>
      </c>
      <c r="Z20" s="9">
        <f>U20</f>
        <v>0</v>
      </c>
      <c r="AA20" s="9">
        <f t="shared" si="6"/>
        <v>1</v>
      </c>
      <c r="AB20" s="18">
        <f t="shared" si="7"/>
        <v>0</v>
      </c>
      <c r="AC20" s="9">
        <f t="shared" si="8"/>
        <v>2.0480000000000022E-8</v>
      </c>
    </row>
    <row r="21" spans="2:29" x14ac:dyDescent="0.35">
      <c r="B21" s="6">
        <v>0</v>
      </c>
      <c r="C21" s="6">
        <v>1</v>
      </c>
      <c r="D21" s="6">
        <v>0</v>
      </c>
      <c r="E21" s="6">
        <v>1</v>
      </c>
      <c r="F21" s="6">
        <v>0</v>
      </c>
      <c r="G21" s="7">
        <f t="shared" si="9"/>
        <v>0</v>
      </c>
      <c r="H21" s="7">
        <f t="shared" si="10"/>
        <v>1</v>
      </c>
      <c r="I21" s="7">
        <f t="shared" si="11"/>
        <v>0</v>
      </c>
      <c r="J21" s="7">
        <f t="shared" si="12"/>
        <v>1</v>
      </c>
      <c r="K21" s="7">
        <f t="shared" si="13"/>
        <v>0</v>
      </c>
      <c r="L21" s="7">
        <f t="shared" si="14"/>
        <v>1</v>
      </c>
      <c r="M21" s="7">
        <f t="shared" si="15"/>
        <v>0</v>
      </c>
      <c r="N21" s="7">
        <f t="shared" si="16"/>
        <v>1</v>
      </c>
      <c r="O21" s="7">
        <f t="shared" si="17"/>
        <v>0</v>
      </c>
      <c r="P21" s="7">
        <f t="shared" si="18"/>
        <v>0</v>
      </c>
      <c r="Q21" s="7">
        <f t="shared" si="19"/>
        <v>0</v>
      </c>
      <c r="R21" s="10">
        <f t="shared" si="20"/>
        <v>4</v>
      </c>
    </row>
    <row r="22" spans="2:29" x14ac:dyDescent="0.35">
      <c r="B22" s="6">
        <v>0</v>
      </c>
      <c r="C22" s="6">
        <v>1</v>
      </c>
      <c r="D22" s="6">
        <v>1</v>
      </c>
      <c r="E22" s="6">
        <v>0</v>
      </c>
      <c r="F22" s="6">
        <v>1</v>
      </c>
      <c r="G22" s="7">
        <f t="shared" si="9"/>
        <v>0</v>
      </c>
      <c r="H22" s="7">
        <f t="shared" si="10"/>
        <v>1</v>
      </c>
      <c r="I22" s="7">
        <f t="shared" si="11"/>
        <v>1</v>
      </c>
      <c r="J22" s="7">
        <f t="shared" si="12"/>
        <v>0</v>
      </c>
      <c r="K22" s="7">
        <f t="shared" si="13"/>
        <v>1</v>
      </c>
      <c r="L22" s="7">
        <f t="shared" si="14"/>
        <v>0</v>
      </c>
      <c r="M22" s="7">
        <f t="shared" si="15"/>
        <v>0</v>
      </c>
      <c r="N22" s="7">
        <f t="shared" si="16"/>
        <v>0</v>
      </c>
      <c r="O22" s="7">
        <f t="shared" si="17"/>
        <v>1</v>
      </c>
      <c r="P22" s="7">
        <f t="shared" si="18"/>
        <v>1</v>
      </c>
      <c r="Q22" s="7">
        <f t="shared" si="19"/>
        <v>0</v>
      </c>
      <c r="R22" s="10">
        <f t="shared" si="20"/>
        <v>5</v>
      </c>
      <c r="T22" s="4"/>
      <c r="U22" s="4"/>
    </row>
    <row r="23" spans="2:29" x14ac:dyDescent="0.35">
      <c r="B23" s="6">
        <v>0</v>
      </c>
      <c r="C23" s="6">
        <v>1</v>
      </c>
      <c r="D23" s="6">
        <v>1</v>
      </c>
      <c r="E23" s="6">
        <v>0</v>
      </c>
      <c r="F23" s="6">
        <v>0</v>
      </c>
      <c r="G23" s="7">
        <f t="shared" si="9"/>
        <v>0</v>
      </c>
      <c r="H23" s="7">
        <f t="shared" si="10"/>
        <v>1</v>
      </c>
      <c r="I23" s="7">
        <f t="shared" si="11"/>
        <v>1</v>
      </c>
      <c r="J23" s="7">
        <f t="shared" si="12"/>
        <v>0</v>
      </c>
      <c r="K23" s="7">
        <f t="shared" si="13"/>
        <v>0</v>
      </c>
      <c r="L23" s="7">
        <f t="shared" si="14"/>
        <v>0</v>
      </c>
      <c r="M23" s="7">
        <f t="shared" si="15"/>
        <v>0</v>
      </c>
      <c r="N23" s="7">
        <f t="shared" si="16"/>
        <v>1</v>
      </c>
      <c r="O23" s="7">
        <f t="shared" si="17"/>
        <v>0</v>
      </c>
      <c r="P23" s="7">
        <f t="shared" si="18"/>
        <v>0</v>
      </c>
      <c r="Q23" s="7">
        <f t="shared" si="19"/>
        <v>1</v>
      </c>
      <c r="R23" s="10">
        <f t="shared" si="20"/>
        <v>4</v>
      </c>
      <c r="T23" s="4"/>
      <c r="U23" s="4"/>
    </row>
    <row r="24" spans="2:29" x14ac:dyDescent="0.35">
      <c r="B24" s="6">
        <v>0</v>
      </c>
      <c r="C24" s="6">
        <v>1</v>
      </c>
      <c r="D24" s="6">
        <v>1</v>
      </c>
      <c r="E24" s="6">
        <v>1</v>
      </c>
      <c r="F24" s="6">
        <v>1</v>
      </c>
      <c r="G24" s="7">
        <f t="shared" si="9"/>
        <v>0</v>
      </c>
      <c r="H24" s="7">
        <f t="shared" si="10"/>
        <v>1</v>
      </c>
      <c r="I24" s="7">
        <f t="shared" si="11"/>
        <v>1</v>
      </c>
      <c r="J24" s="7">
        <f t="shared" si="12"/>
        <v>1</v>
      </c>
      <c r="K24" s="7">
        <f t="shared" si="13"/>
        <v>1</v>
      </c>
      <c r="L24" s="7">
        <f t="shared" si="14"/>
        <v>1</v>
      </c>
      <c r="M24" s="7">
        <f t="shared" si="15"/>
        <v>1</v>
      </c>
      <c r="N24" s="7">
        <f t="shared" si="16"/>
        <v>1</v>
      </c>
      <c r="O24" s="7">
        <f t="shared" si="17"/>
        <v>0</v>
      </c>
      <c r="P24" s="7">
        <f t="shared" si="18"/>
        <v>0</v>
      </c>
      <c r="Q24" s="7">
        <f t="shared" si="19"/>
        <v>1</v>
      </c>
      <c r="R24" s="10">
        <f t="shared" si="20"/>
        <v>8</v>
      </c>
      <c r="T24" s="4"/>
      <c r="U24" s="4"/>
    </row>
    <row r="25" spans="2:29" x14ac:dyDescent="0.35">
      <c r="B25" s="6">
        <v>0</v>
      </c>
      <c r="C25" s="6">
        <v>1</v>
      </c>
      <c r="D25" s="6">
        <v>1</v>
      </c>
      <c r="E25" s="6">
        <v>1</v>
      </c>
      <c r="F25" s="6">
        <v>0</v>
      </c>
      <c r="G25" s="7">
        <f t="shared" si="9"/>
        <v>0</v>
      </c>
      <c r="H25" s="7">
        <f t="shared" si="10"/>
        <v>1</v>
      </c>
      <c r="I25" s="7">
        <f t="shared" si="11"/>
        <v>1</v>
      </c>
      <c r="J25" s="7">
        <f t="shared" si="12"/>
        <v>1</v>
      </c>
      <c r="K25" s="7">
        <f t="shared" si="13"/>
        <v>0</v>
      </c>
      <c r="L25" s="7">
        <f t="shared" si="14"/>
        <v>1</v>
      </c>
      <c r="M25" s="7">
        <f t="shared" si="15"/>
        <v>1</v>
      </c>
      <c r="N25" s="7">
        <f t="shared" si="16"/>
        <v>0</v>
      </c>
      <c r="O25" s="7">
        <f t="shared" si="17"/>
        <v>1</v>
      </c>
      <c r="P25" s="7">
        <f t="shared" si="18"/>
        <v>1</v>
      </c>
      <c r="Q25" s="7">
        <f t="shared" si="19"/>
        <v>0</v>
      </c>
      <c r="R25" s="10">
        <f t="shared" si="20"/>
        <v>7</v>
      </c>
      <c r="T25" s="4"/>
      <c r="U25" s="4"/>
    </row>
    <row r="26" spans="2:29" x14ac:dyDescent="0.35">
      <c r="B26" s="6">
        <v>1</v>
      </c>
      <c r="C26" s="6">
        <v>0</v>
      </c>
      <c r="D26" s="6">
        <v>0</v>
      </c>
      <c r="E26" s="6">
        <v>0</v>
      </c>
      <c r="F26" s="6">
        <v>1</v>
      </c>
      <c r="G26" s="7">
        <f t="shared" si="9"/>
        <v>1</v>
      </c>
      <c r="H26" s="7">
        <f t="shared" si="10"/>
        <v>0</v>
      </c>
      <c r="I26" s="7">
        <f t="shared" si="11"/>
        <v>0</v>
      </c>
      <c r="J26" s="7">
        <f t="shared" si="12"/>
        <v>0</v>
      </c>
      <c r="K26" s="7">
        <f t="shared" si="13"/>
        <v>1</v>
      </c>
      <c r="L26" s="7">
        <f t="shared" si="14"/>
        <v>0</v>
      </c>
      <c r="M26" s="7">
        <f t="shared" si="15"/>
        <v>1</v>
      </c>
      <c r="N26" s="7">
        <f t="shared" si="16"/>
        <v>0</v>
      </c>
      <c r="O26" s="7">
        <f t="shared" si="17"/>
        <v>0</v>
      </c>
      <c r="P26" s="7">
        <f t="shared" si="18"/>
        <v>1</v>
      </c>
      <c r="Q26" s="7">
        <f t="shared" si="19"/>
        <v>0</v>
      </c>
      <c r="R26" s="10">
        <f t="shared" si="20"/>
        <v>4</v>
      </c>
      <c r="T26" s="4"/>
      <c r="U26" s="4"/>
    </row>
    <row r="27" spans="2:29" x14ac:dyDescent="0.35">
      <c r="B27" s="6">
        <v>1</v>
      </c>
      <c r="C27" s="6">
        <v>0</v>
      </c>
      <c r="D27" s="6">
        <v>0</v>
      </c>
      <c r="E27" s="6">
        <v>0</v>
      </c>
      <c r="F27" s="6">
        <v>0</v>
      </c>
      <c r="G27" s="7">
        <f t="shared" si="9"/>
        <v>1</v>
      </c>
      <c r="H27" s="7">
        <f t="shared" si="10"/>
        <v>0</v>
      </c>
      <c r="I27" s="7">
        <f t="shared" si="11"/>
        <v>0</v>
      </c>
      <c r="J27" s="7">
        <f t="shared" si="12"/>
        <v>0</v>
      </c>
      <c r="K27" s="7">
        <f t="shared" si="13"/>
        <v>0</v>
      </c>
      <c r="L27" s="7">
        <f t="shared" si="14"/>
        <v>0</v>
      </c>
      <c r="M27" s="7">
        <f t="shared" si="15"/>
        <v>1</v>
      </c>
      <c r="N27" s="7">
        <f t="shared" si="16"/>
        <v>1</v>
      </c>
      <c r="O27" s="7">
        <f t="shared" si="17"/>
        <v>1</v>
      </c>
      <c r="P27" s="7">
        <f t="shared" si="18"/>
        <v>0</v>
      </c>
      <c r="Q27" s="7">
        <f t="shared" si="19"/>
        <v>1</v>
      </c>
      <c r="R27" s="10">
        <f t="shared" si="20"/>
        <v>5</v>
      </c>
      <c r="T27" s="4"/>
      <c r="U27" s="4"/>
    </row>
    <row r="28" spans="2:29" x14ac:dyDescent="0.35">
      <c r="B28" s="6">
        <v>1</v>
      </c>
      <c r="C28" s="6">
        <v>0</v>
      </c>
      <c r="D28" s="6">
        <v>0</v>
      </c>
      <c r="E28" s="6">
        <v>1</v>
      </c>
      <c r="F28" s="6">
        <v>1</v>
      </c>
      <c r="G28" s="7">
        <f t="shared" si="9"/>
        <v>1</v>
      </c>
      <c r="H28" s="7">
        <f t="shared" si="10"/>
        <v>0</v>
      </c>
      <c r="I28" s="7">
        <f t="shared" si="11"/>
        <v>0</v>
      </c>
      <c r="J28" s="7">
        <f t="shared" si="12"/>
        <v>1</v>
      </c>
      <c r="K28" s="7">
        <f t="shared" si="13"/>
        <v>1</v>
      </c>
      <c r="L28" s="7">
        <f t="shared" si="14"/>
        <v>1</v>
      </c>
      <c r="M28" s="7">
        <f t="shared" si="15"/>
        <v>0</v>
      </c>
      <c r="N28" s="7">
        <f t="shared" si="16"/>
        <v>1</v>
      </c>
      <c r="O28" s="7">
        <f t="shared" si="17"/>
        <v>1</v>
      </c>
      <c r="P28" s="7">
        <f t="shared" si="18"/>
        <v>0</v>
      </c>
      <c r="Q28" s="7">
        <f t="shared" si="19"/>
        <v>1</v>
      </c>
      <c r="R28" s="10">
        <f t="shared" si="20"/>
        <v>7</v>
      </c>
      <c r="T28" s="4"/>
      <c r="U28" s="4"/>
    </row>
    <row r="29" spans="2:29" x14ac:dyDescent="0.35">
      <c r="B29" s="6">
        <v>1</v>
      </c>
      <c r="C29" s="6">
        <v>0</v>
      </c>
      <c r="D29" s="6">
        <v>0</v>
      </c>
      <c r="E29" s="6">
        <v>1</v>
      </c>
      <c r="F29" s="6">
        <v>0</v>
      </c>
      <c r="G29" s="7">
        <f t="shared" si="9"/>
        <v>1</v>
      </c>
      <c r="H29" s="7">
        <f t="shared" si="10"/>
        <v>0</v>
      </c>
      <c r="I29" s="7">
        <f t="shared" si="11"/>
        <v>0</v>
      </c>
      <c r="J29" s="7">
        <f t="shared" si="12"/>
        <v>1</v>
      </c>
      <c r="K29" s="7">
        <f t="shared" si="13"/>
        <v>0</v>
      </c>
      <c r="L29" s="7">
        <f t="shared" si="14"/>
        <v>1</v>
      </c>
      <c r="M29" s="7">
        <f t="shared" si="15"/>
        <v>0</v>
      </c>
      <c r="N29" s="7">
        <f t="shared" si="16"/>
        <v>0</v>
      </c>
      <c r="O29" s="7">
        <f t="shared" si="17"/>
        <v>0</v>
      </c>
      <c r="P29" s="7">
        <f t="shared" si="18"/>
        <v>1</v>
      </c>
      <c r="Q29" s="7">
        <f t="shared" si="19"/>
        <v>0</v>
      </c>
      <c r="R29" s="10">
        <f t="shared" si="20"/>
        <v>4</v>
      </c>
      <c r="T29" s="4"/>
      <c r="U29" s="4"/>
    </row>
    <row r="30" spans="2:29" x14ac:dyDescent="0.35">
      <c r="B30" s="6">
        <v>1</v>
      </c>
      <c r="C30" s="6">
        <v>0</v>
      </c>
      <c r="D30" s="6">
        <v>1</v>
      </c>
      <c r="E30" s="6">
        <v>0</v>
      </c>
      <c r="F30" s="6">
        <v>1</v>
      </c>
      <c r="G30" s="7">
        <f t="shared" si="9"/>
        <v>1</v>
      </c>
      <c r="H30" s="7">
        <f t="shared" si="10"/>
        <v>0</v>
      </c>
      <c r="I30" s="7">
        <f t="shared" si="11"/>
        <v>1</v>
      </c>
      <c r="J30" s="7">
        <f t="shared" si="12"/>
        <v>0</v>
      </c>
      <c r="K30" s="7">
        <f t="shared" si="13"/>
        <v>1</v>
      </c>
      <c r="L30" s="7">
        <f t="shared" si="14"/>
        <v>0</v>
      </c>
      <c r="M30" s="7">
        <f t="shared" si="15"/>
        <v>0</v>
      </c>
      <c r="N30" s="7">
        <f t="shared" si="16"/>
        <v>1</v>
      </c>
      <c r="O30" s="7">
        <f t="shared" si="17"/>
        <v>1</v>
      </c>
      <c r="P30" s="7">
        <f t="shared" si="18"/>
        <v>0</v>
      </c>
      <c r="Q30" s="7">
        <f t="shared" si="19"/>
        <v>0</v>
      </c>
      <c r="R30" s="10">
        <f t="shared" si="20"/>
        <v>5</v>
      </c>
      <c r="T30" s="4"/>
      <c r="U30" s="4"/>
    </row>
    <row r="31" spans="2:29" x14ac:dyDescent="0.35">
      <c r="B31" s="6">
        <v>1</v>
      </c>
      <c r="C31" s="6">
        <v>0</v>
      </c>
      <c r="D31" s="6">
        <v>1</v>
      </c>
      <c r="E31" s="6">
        <v>0</v>
      </c>
      <c r="F31" s="6">
        <v>0</v>
      </c>
      <c r="G31" s="7">
        <f t="shared" si="9"/>
        <v>1</v>
      </c>
      <c r="H31" s="7">
        <f t="shared" si="10"/>
        <v>0</v>
      </c>
      <c r="I31" s="7">
        <f t="shared" si="11"/>
        <v>1</v>
      </c>
      <c r="J31" s="7">
        <f t="shared" si="12"/>
        <v>0</v>
      </c>
      <c r="K31" s="7">
        <f t="shared" si="13"/>
        <v>0</v>
      </c>
      <c r="L31" s="7">
        <f t="shared" si="14"/>
        <v>0</v>
      </c>
      <c r="M31" s="7">
        <f t="shared" si="15"/>
        <v>0</v>
      </c>
      <c r="N31" s="7">
        <f t="shared" si="16"/>
        <v>0</v>
      </c>
      <c r="O31" s="7">
        <f t="shared" si="17"/>
        <v>0</v>
      </c>
      <c r="P31" s="7">
        <f t="shared" si="18"/>
        <v>1</v>
      </c>
      <c r="Q31" s="7">
        <f t="shared" si="19"/>
        <v>1</v>
      </c>
      <c r="R31" s="10">
        <f t="shared" si="20"/>
        <v>4</v>
      </c>
      <c r="T31" s="4"/>
      <c r="U31" s="4"/>
    </row>
    <row r="32" spans="2:29" x14ac:dyDescent="0.35">
      <c r="B32" s="6">
        <v>1</v>
      </c>
      <c r="C32" s="6">
        <v>0</v>
      </c>
      <c r="D32" s="6">
        <v>1</v>
      </c>
      <c r="E32" s="6">
        <v>1</v>
      </c>
      <c r="F32" s="6">
        <v>0</v>
      </c>
      <c r="G32" s="7">
        <f t="shared" si="9"/>
        <v>1</v>
      </c>
      <c r="H32" s="7">
        <f t="shared" si="10"/>
        <v>0</v>
      </c>
      <c r="I32" s="7">
        <f t="shared" si="11"/>
        <v>1</v>
      </c>
      <c r="J32" s="7">
        <f t="shared" si="12"/>
        <v>1</v>
      </c>
      <c r="K32" s="7">
        <f t="shared" si="13"/>
        <v>0</v>
      </c>
      <c r="L32" s="7">
        <f t="shared" si="14"/>
        <v>1</v>
      </c>
      <c r="M32" s="7">
        <f t="shared" si="15"/>
        <v>1</v>
      </c>
      <c r="N32" s="7">
        <f t="shared" si="16"/>
        <v>1</v>
      </c>
      <c r="O32" s="7">
        <f t="shared" si="17"/>
        <v>1</v>
      </c>
      <c r="P32" s="7">
        <f t="shared" si="18"/>
        <v>0</v>
      </c>
      <c r="Q32" s="7">
        <f t="shared" si="19"/>
        <v>0</v>
      </c>
      <c r="R32" s="10">
        <f t="shared" si="20"/>
        <v>7</v>
      </c>
      <c r="T32" s="4"/>
      <c r="U32" s="4"/>
    </row>
    <row r="33" spans="2:21" x14ac:dyDescent="0.35">
      <c r="B33" s="6">
        <v>1</v>
      </c>
      <c r="C33" s="6">
        <v>0</v>
      </c>
      <c r="D33" s="6">
        <v>1</v>
      </c>
      <c r="E33" s="6">
        <v>1</v>
      </c>
      <c r="F33" s="6">
        <v>1</v>
      </c>
      <c r="G33" s="7">
        <f t="shared" si="9"/>
        <v>1</v>
      </c>
      <c r="H33" s="7">
        <f t="shared" si="10"/>
        <v>0</v>
      </c>
      <c r="I33" s="7">
        <f t="shared" si="11"/>
        <v>1</v>
      </c>
      <c r="J33" s="7">
        <f t="shared" si="12"/>
        <v>1</v>
      </c>
      <c r="K33" s="7">
        <f t="shared" si="13"/>
        <v>1</v>
      </c>
      <c r="L33" s="7">
        <f t="shared" si="14"/>
        <v>1</v>
      </c>
      <c r="M33" s="7">
        <f t="shared" si="15"/>
        <v>1</v>
      </c>
      <c r="N33" s="7">
        <f t="shared" si="16"/>
        <v>0</v>
      </c>
      <c r="O33" s="7">
        <f t="shared" si="17"/>
        <v>0</v>
      </c>
      <c r="P33" s="7">
        <f t="shared" si="18"/>
        <v>1</v>
      </c>
      <c r="Q33" s="7">
        <f t="shared" si="19"/>
        <v>1</v>
      </c>
      <c r="R33" s="10">
        <f t="shared" si="20"/>
        <v>8</v>
      </c>
      <c r="T33" s="4"/>
      <c r="U33" s="4"/>
    </row>
    <row r="34" spans="2:21" x14ac:dyDescent="0.35">
      <c r="B34" s="6">
        <v>1</v>
      </c>
      <c r="C34" s="6">
        <v>1</v>
      </c>
      <c r="D34" s="6">
        <v>0</v>
      </c>
      <c r="E34" s="6">
        <v>0</v>
      </c>
      <c r="F34" s="6">
        <v>0</v>
      </c>
      <c r="G34" s="7">
        <f t="shared" si="9"/>
        <v>1</v>
      </c>
      <c r="H34" s="7">
        <f t="shared" si="10"/>
        <v>1</v>
      </c>
      <c r="I34" s="7">
        <f t="shared" si="11"/>
        <v>0</v>
      </c>
      <c r="J34" s="7">
        <f t="shared" si="12"/>
        <v>0</v>
      </c>
      <c r="K34" s="7">
        <f t="shared" si="13"/>
        <v>0</v>
      </c>
      <c r="L34" s="7">
        <f t="shared" si="14"/>
        <v>0</v>
      </c>
      <c r="M34" s="7">
        <f t="shared" si="15"/>
        <v>0</v>
      </c>
      <c r="N34" s="7">
        <f t="shared" si="16"/>
        <v>1</v>
      </c>
      <c r="O34" s="7">
        <f t="shared" si="17"/>
        <v>0</v>
      </c>
      <c r="P34" s="7">
        <f t="shared" si="18"/>
        <v>1</v>
      </c>
      <c r="Q34" s="7">
        <f t="shared" si="19"/>
        <v>0</v>
      </c>
      <c r="R34" s="10">
        <f t="shared" si="20"/>
        <v>4</v>
      </c>
      <c r="T34" s="4"/>
      <c r="U34" s="4"/>
    </row>
    <row r="35" spans="2:21" x14ac:dyDescent="0.35">
      <c r="B35" s="6">
        <v>1</v>
      </c>
      <c r="C35" s="6">
        <v>1</v>
      </c>
      <c r="D35" s="6">
        <v>0</v>
      </c>
      <c r="E35" s="6">
        <v>0</v>
      </c>
      <c r="F35" s="6">
        <v>1</v>
      </c>
      <c r="G35" s="7">
        <f t="shared" si="9"/>
        <v>1</v>
      </c>
      <c r="H35" s="7">
        <f t="shared" si="10"/>
        <v>1</v>
      </c>
      <c r="I35" s="7">
        <f t="shared" si="11"/>
        <v>0</v>
      </c>
      <c r="J35" s="7">
        <f t="shared" si="12"/>
        <v>0</v>
      </c>
      <c r="K35" s="7">
        <f t="shared" si="13"/>
        <v>1</v>
      </c>
      <c r="L35" s="7">
        <f t="shared" si="14"/>
        <v>0</v>
      </c>
      <c r="M35" s="7">
        <f t="shared" si="15"/>
        <v>0</v>
      </c>
      <c r="N35" s="7">
        <f t="shared" si="16"/>
        <v>0</v>
      </c>
      <c r="O35" s="7">
        <f t="shared" si="17"/>
        <v>1</v>
      </c>
      <c r="P35" s="7">
        <f t="shared" si="18"/>
        <v>0</v>
      </c>
      <c r="Q35" s="7">
        <f t="shared" si="19"/>
        <v>1</v>
      </c>
      <c r="R35" s="10">
        <f t="shared" si="20"/>
        <v>5</v>
      </c>
      <c r="T35" s="4"/>
      <c r="U35" s="4"/>
    </row>
    <row r="36" spans="2:21" x14ac:dyDescent="0.35">
      <c r="B36" s="6">
        <v>1</v>
      </c>
      <c r="C36" s="6">
        <v>1</v>
      </c>
      <c r="D36" s="6">
        <v>0</v>
      </c>
      <c r="E36" s="6">
        <v>1</v>
      </c>
      <c r="F36" s="6">
        <v>0</v>
      </c>
      <c r="G36" s="7">
        <f t="shared" si="9"/>
        <v>1</v>
      </c>
      <c r="H36" s="7">
        <f t="shared" si="10"/>
        <v>1</v>
      </c>
      <c r="I36" s="7">
        <f t="shared" si="11"/>
        <v>0</v>
      </c>
      <c r="J36" s="7">
        <f t="shared" si="12"/>
        <v>1</v>
      </c>
      <c r="K36" s="7">
        <f t="shared" si="13"/>
        <v>0</v>
      </c>
      <c r="L36" s="7">
        <f t="shared" si="14"/>
        <v>1</v>
      </c>
      <c r="M36" s="7">
        <f t="shared" si="15"/>
        <v>1</v>
      </c>
      <c r="N36" s="7">
        <f t="shared" si="16"/>
        <v>0</v>
      </c>
      <c r="O36" s="7">
        <f t="shared" si="17"/>
        <v>1</v>
      </c>
      <c r="P36" s="7">
        <f t="shared" si="18"/>
        <v>0</v>
      </c>
      <c r="Q36" s="7">
        <f t="shared" si="19"/>
        <v>1</v>
      </c>
      <c r="R36" s="10">
        <f t="shared" si="20"/>
        <v>7</v>
      </c>
      <c r="T36" s="4"/>
      <c r="U36" s="4"/>
    </row>
    <row r="37" spans="2:21" x14ac:dyDescent="0.35">
      <c r="B37" s="6">
        <v>1</v>
      </c>
      <c r="C37" s="6">
        <v>1</v>
      </c>
      <c r="D37" s="6">
        <v>0</v>
      </c>
      <c r="E37" s="6">
        <v>1</v>
      </c>
      <c r="F37" s="6">
        <v>1</v>
      </c>
      <c r="G37" s="7">
        <f t="shared" si="9"/>
        <v>1</v>
      </c>
      <c r="H37" s="7">
        <f t="shared" si="10"/>
        <v>1</v>
      </c>
      <c r="I37" s="7">
        <f t="shared" si="11"/>
        <v>0</v>
      </c>
      <c r="J37" s="7">
        <f t="shared" si="12"/>
        <v>1</v>
      </c>
      <c r="K37" s="7">
        <f t="shared" si="13"/>
        <v>1</v>
      </c>
      <c r="L37" s="7">
        <f t="shared" si="14"/>
        <v>1</v>
      </c>
      <c r="M37" s="7">
        <f t="shared" si="15"/>
        <v>1</v>
      </c>
      <c r="N37" s="7">
        <f t="shared" si="16"/>
        <v>1</v>
      </c>
      <c r="O37" s="7">
        <f t="shared" si="17"/>
        <v>0</v>
      </c>
      <c r="P37" s="7">
        <f t="shared" si="18"/>
        <v>1</v>
      </c>
      <c r="Q37" s="7">
        <f t="shared" si="19"/>
        <v>0</v>
      </c>
      <c r="R37" s="10">
        <f t="shared" si="20"/>
        <v>8</v>
      </c>
      <c r="T37" s="4"/>
      <c r="U37" s="4"/>
    </row>
    <row r="38" spans="2:21" x14ac:dyDescent="0.35">
      <c r="B38" s="6">
        <v>1</v>
      </c>
      <c r="C38" s="6">
        <v>1</v>
      </c>
      <c r="D38" s="6">
        <v>1</v>
      </c>
      <c r="E38" s="6">
        <v>0</v>
      </c>
      <c r="F38" s="6">
        <v>0</v>
      </c>
      <c r="G38" s="7">
        <f t="shared" si="9"/>
        <v>1</v>
      </c>
      <c r="H38" s="7">
        <f t="shared" si="10"/>
        <v>1</v>
      </c>
      <c r="I38" s="7">
        <f t="shared" si="11"/>
        <v>1</v>
      </c>
      <c r="J38" s="7">
        <f t="shared" si="12"/>
        <v>0</v>
      </c>
      <c r="K38" s="7">
        <f t="shared" si="13"/>
        <v>0</v>
      </c>
      <c r="L38" s="7">
        <f t="shared" si="14"/>
        <v>0</v>
      </c>
      <c r="M38" s="7">
        <f t="shared" si="15"/>
        <v>1</v>
      </c>
      <c r="N38" s="7">
        <f t="shared" si="16"/>
        <v>0</v>
      </c>
      <c r="O38" s="7">
        <f t="shared" si="17"/>
        <v>1</v>
      </c>
      <c r="P38" s="7">
        <f t="shared" si="18"/>
        <v>0</v>
      </c>
      <c r="Q38" s="7">
        <f t="shared" si="19"/>
        <v>0</v>
      </c>
      <c r="R38" s="10">
        <f t="shared" si="20"/>
        <v>5</v>
      </c>
      <c r="T38" s="4"/>
      <c r="U38" s="4"/>
    </row>
    <row r="39" spans="2:21" x14ac:dyDescent="0.35">
      <c r="B39" s="6">
        <v>1</v>
      </c>
      <c r="C39" s="6">
        <v>1</v>
      </c>
      <c r="D39" s="6">
        <v>1</v>
      </c>
      <c r="E39" s="6">
        <v>0</v>
      </c>
      <c r="F39" s="6">
        <v>1</v>
      </c>
      <c r="G39" s="7">
        <f t="shared" si="9"/>
        <v>1</v>
      </c>
      <c r="H39" s="7">
        <f t="shared" si="10"/>
        <v>1</v>
      </c>
      <c r="I39" s="7">
        <f t="shared" si="11"/>
        <v>1</v>
      </c>
      <c r="J39" s="7">
        <f t="shared" si="12"/>
        <v>0</v>
      </c>
      <c r="K39" s="7">
        <f t="shared" si="13"/>
        <v>1</v>
      </c>
      <c r="L39" s="7">
        <f t="shared" si="14"/>
        <v>0</v>
      </c>
      <c r="M39" s="7">
        <f t="shared" si="15"/>
        <v>1</v>
      </c>
      <c r="N39" s="7">
        <f t="shared" si="16"/>
        <v>1</v>
      </c>
      <c r="O39" s="7">
        <f t="shared" si="17"/>
        <v>0</v>
      </c>
      <c r="P39" s="7">
        <f t="shared" si="18"/>
        <v>1</v>
      </c>
      <c r="Q39" s="7">
        <f t="shared" si="19"/>
        <v>1</v>
      </c>
      <c r="R39" s="10">
        <f t="shared" si="20"/>
        <v>8</v>
      </c>
      <c r="T39" s="4"/>
      <c r="U39" s="4"/>
    </row>
    <row r="40" spans="2:21" x14ac:dyDescent="0.35">
      <c r="B40" s="6">
        <v>1</v>
      </c>
      <c r="C40" s="6">
        <v>1</v>
      </c>
      <c r="D40" s="6">
        <v>1</v>
      </c>
      <c r="E40" s="6">
        <v>1</v>
      </c>
      <c r="F40" s="6">
        <v>0</v>
      </c>
      <c r="G40" s="7">
        <f t="shared" si="9"/>
        <v>1</v>
      </c>
      <c r="H40" s="7">
        <f t="shared" si="10"/>
        <v>1</v>
      </c>
      <c r="I40" s="7">
        <f t="shared" si="11"/>
        <v>1</v>
      </c>
      <c r="J40" s="7">
        <f t="shared" si="12"/>
        <v>1</v>
      </c>
      <c r="K40" s="7">
        <f t="shared" si="13"/>
        <v>0</v>
      </c>
      <c r="L40" s="7">
        <f t="shared" si="14"/>
        <v>1</v>
      </c>
      <c r="M40" s="7">
        <f t="shared" si="15"/>
        <v>0</v>
      </c>
      <c r="N40" s="7">
        <f t="shared" si="16"/>
        <v>1</v>
      </c>
      <c r="O40" s="7">
        <f t="shared" si="17"/>
        <v>0</v>
      </c>
      <c r="P40" s="7">
        <f t="shared" si="18"/>
        <v>1</v>
      </c>
      <c r="Q40" s="7">
        <f t="shared" si="19"/>
        <v>1</v>
      </c>
      <c r="R40" s="10">
        <f t="shared" si="20"/>
        <v>8</v>
      </c>
      <c r="T40" s="4"/>
      <c r="U40" s="4"/>
    </row>
    <row r="41" spans="2:21" x14ac:dyDescent="0.35"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7">
        <f t="shared" si="9"/>
        <v>1</v>
      </c>
      <c r="H41" s="7">
        <f t="shared" si="10"/>
        <v>1</v>
      </c>
      <c r="I41" s="7">
        <f t="shared" si="11"/>
        <v>1</v>
      </c>
      <c r="J41" s="7">
        <f t="shared" si="12"/>
        <v>1</v>
      </c>
      <c r="K41" s="7">
        <f t="shared" si="13"/>
        <v>1</v>
      </c>
      <c r="L41" s="7">
        <f t="shared" si="14"/>
        <v>1</v>
      </c>
      <c r="M41" s="7">
        <f t="shared" si="15"/>
        <v>0</v>
      </c>
      <c r="N41" s="7">
        <f t="shared" si="16"/>
        <v>0</v>
      </c>
      <c r="O41" s="7">
        <f t="shared" si="17"/>
        <v>1</v>
      </c>
      <c r="P41" s="7">
        <f t="shared" si="18"/>
        <v>0</v>
      </c>
      <c r="Q41" s="7">
        <f t="shared" si="19"/>
        <v>0</v>
      </c>
      <c r="R41" s="10">
        <f t="shared" si="20"/>
        <v>7</v>
      </c>
      <c r="T41" s="4"/>
      <c r="U41" s="4"/>
    </row>
  </sheetData>
  <mergeCells count="4">
    <mergeCell ref="T7:U7"/>
    <mergeCell ref="D1:M1"/>
    <mergeCell ref="B9:F9"/>
    <mergeCell ref="G9:Q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Астахов</dc:creator>
  <cp:lastModifiedBy>Сергей Астахов</cp:lastModifiedBy>
  <dcterms:created xsi:type="dcterms:W3CDTF">2026-09-29T08:36:44Z</dcterms:created>
  <dcterms:modified xsi:type="dcterms:W3CDTF">2026-10-13T09:07:14Z</dcterms:modified>
</cp:coreProperties>
</file>