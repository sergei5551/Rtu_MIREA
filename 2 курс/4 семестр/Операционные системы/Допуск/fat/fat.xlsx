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8"/>
  <workbookPr/>
  <xr:revisionPtr revIDLastSave="0" documentId="8_{930B5396-DECB-48CA-978B-B70374547591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Лист1" sheetId="1" r:id="rId1"/>
    <sheet name="Лист2" sheetId="2" r:id="rId2"/>
  </sheet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3" i="2" l="1"/>
  <c r="D34" i="2"/>
  <c r="D35" i="2"/>
  <c r="D36" i="2"/>
  <c r="D37" i="2"/>
  <c r="D32" i="2"/>
  <c r="B20" i="1"/>
  <c r="E33" i="2"/>
  <c r="C32" i="2"/>
  <c r="E32" i="2"/>
  <c r="D30" i="2"/>
  <c r="D22" i="2"/>
  <c r="D21" i="2"/>
  <c r="D16" i="2"/>
  <c r="D14" i="2"/>
  <c r="N36" i="2"/>
  <c r="N37" i="2"/>
  <c r="M35" i="2"/>
  <c r="N35" i="2" s="1"/>
  <c r="M33" i="2"/>
  <c r="N33" i="2" s="1"/>
  <c r="M34" i="2"/>
  <c r="N34" i="2" s="1"/>
  <c r="M36" i="2"/>
  <c r="M37" i="2"/>
  <c r="M32" i="2"/>
  <c r="N32" i="2" s="1"/>
  <c r="B14" i="2"/>
  <c r="H33" i="2"/>
  <c r="H34" i="2"/>
  <c r="H35" i="2"/>
  <c r="H36" i="2"/>
  <c r="H37" i="2"/>
  <c r="H32" i="2"/>
  <c r="C30" i="2"/>
  <c r="C21" i="2"/>
  <c r="C22" i="2"/>
  <c r="B40" i="2"/>
  <c r="L18" i="1"/>
  <c r="B25" i="2"/>
  <c r="B26" i="2" s="1"/>
  <c r="B27" i="2" s="1"/>
  <c r="B28" i="2" s="1"/>
  <c r="G14" i="1"/>
  <c r="B32" i="2"/>
  <c r="B18" i="2"/>
  <c r="B16" i="2"/>
  <c r="C18" i="2"/>
  <c r="C16" i="2"/>
  <c r="C14" i="2"/>
  <c r="B10" i="2"/>
  <c r="A10" i="1"/>
  <c r="B9" i="2"/>
  <c r="B11" i="2" s="1"/>
  <c r="A8" i="1"/>
  <c r="A12" i="1" s="1"/>
  <c r="C1" i="2"/>
  <c r="H3" i="1"/>
  <c r="I8" i="1"/>
  <c r="I9" i="1" s="1"/>
  <c r="E30" i="1" a="1"/>
  <c r="E30" i="1"/>
  <c r="L19" i="1"/>
  <c r="L20" i="1"/>
  <c r="L21" i="1"/>
  <c r="L22" i="1"/>
  <c r="L23" i="1"/>
  <c r="I10" i="1"/>
  <c r="I11" i="1" s="1"/>
  <c r="A21" i="1" l="1"/>
  <c r="A20" i="1"/>
  <c r="B23" i="2"/>
  <c r="C46" i="2"/>
  <c r="F36" i="2"/>
  <c r="O36" i="2"/>
  <c r="K36" i="2"/>
  <c r="K18" i="1"/>
  <c r="A14" i="1"/>
  <c r="O37" i="2"/>
  <c r="O35" i="2"/>
  <c r="O34" i="2"/>
  <c r="O33" i="2"/>
  <c r="O32" i="2"/>
  <c r="C33" i="2"/>
  <c r="C34" i="2"/>
  <c r="I34" i="2" s="1"/>
  <c r="J34" i="2" s="1"/>
  <c r="C35" i="2"/>
  <c r="I35" i="2" s="1"/>
  <c r="J35" i="2" s="1"/>
  <c r="C36" i="2"/>
  <c r="I36" i="2" s="1"/>
  <c r="J36" i="2" s="1"/>
  <c r="C37" i="2"/>
  <c r="I37" i="2" s="1"/>
  <c r="J37" i="2" s="1"/>
  <c r="K33" i="2"/>
  <c r="K34" i="2"/>
  <c r="K35" i="2"/>
  <c r="K37" i="2"/>
  <c r="K32" i="2"/>
  <c r="F32" i="2"/>
  <c r="F33" i="2"/>
  <c r="F34" i="2"/>
  <c r="F35" i="2"/>
  <c r="F37" i="2"/>
  <c r="D41" i="2"/>
  <c r="E34" i="2"/>
  <c r="D42" i="2"/>
  <c r="D43" i="2"/>
  <c r="D44" i="2"/>
  <c r="D45" i="2"/>
  <c r="D46" i="2"/>
  <c r="E35" i="2"/>
  <c r="E36" i="2"/>
  <c r="E37" i="2"/>
  <c r="C42" i="2"/>
  <c r="C43" i="2"/>
  <c r="C44" i="2"/>
  <c r="C45" i="2"/>
  <c r="C41" i="2"/>
  <c r="D18" i="2"/>
  <c r="B20" i="2" s="1"/>
  <c r="K19" i="1"/>
  <c r="K20" i="1"/>
  <c r="K21" i="1"/>
  <c r="K22" i="1"/>
  <c r="K23" i="1"/>
  <c r="I32" i="2" l="1"/>
  <c r="J32" i="2" s="1"/>
  <c r="I33" i="2"/>
  <c r="J33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<sst xmlns="http://schemas.openxmlformats.org/spreadsheetml/2006/main" count="81" uniqueCount="74">
  <si>
    <t>FAT_N</t>
  </si>
  <si>
    <t>сектор в байтах</t>
  </si>
  <si>
    <t>секторов в одном кластере</t>
  </si>
  <si>
    <t>кол-во рез. сек.</t>
  </si>
  <si>
    <t>кол-во FAT</t>
  </si>
  <si>
    <t>размер корн. дир.</t>
  </si>
  <si>
    <t>размер одной FAT</t>
  </si>
  <si>
    <t>путь</t>
  </si>
  <si>
    <t>ZCfDp/PFVpx</t>
  </si>
  <si>
    <t>первый сектор корневой папки:</t>
  </si>
  <si>
    <t>кластер:</t>
  </si>
  <si>
    <t>сектор файла:</t>
  </si>
  <si>
    <t>FAT'ы:</t>
  </si>
  <si>
    <t>размер корн. дир. в секторах:</t>
  </si>
  <si>
    <t>размер файла:</t>
  </si>
  <si>
    <t>область начала данных:</t>
  </si>
  <si>
    <t>нужный кластер:</t>
  </si>
  <si>
    <t>номер 1 класт.:</t>
  </si>
  <si>
    <t>подсчёт перемещения:</t>
  </si>
  <si>
    <t>кластер/файл:</t>
  </si>
  <si>
    <t>J16 или E8, проверять</t>
  </si>
  <si>
    <t>смещение таблицы:</t>
  </si>
  <si>
    <t>кластеры:</t>
  </si>
  <si>
    <t>смещение для скачивания:</t>
  </si>
  <si>
    <t>скачивать секторов:</t>
  </si>
  <si>
    <t>строка-столбец:</t>
  </si>
  <si>
    <t>без округ. для FAT12</t>
  </si>
  <si>
    <t>00 AF</t>
  </si>
  <si>
    <t>1D 00</t>
  </si>
  <si>
    <t>FAT_N:</t>
  </si>
  <si>
    <t>путь (опционально):</t>
  </si>
  <si>
    <t>секторов в байтах:</t>
  </si>
  <si>
    <t>QKdjJ/efdSv/pVwaw/FVVpv</t>
  </si>
  <si>
    <t>секторов в одном кластере:</t>
  </si>
  <si>
    <t>кол-во зарезервированных секторов:</t>
  </si>
  <si>
    <t>кол-во таблиц FAT:</t>
  </si>
  <si>
    <t>размер корневой директории:</t>
  </si>
  <si>
    <t>размер одной FAT-таблицы:</t>
  </si>
  <si>
    <t>положение 1 папки (не корн.):</t>
  </si>
  <si>
    <t>22 00</t>
  </si>
  <si>
    <t>смещение к 1 папке:</t>
  </si>
  <si>
    <t>положение 2 папки:</t>
  </si>
  <si>
    <t>03 00</t>
  </si>
  <si>
    <t>смещение ко 2 папке:</t>
  </si>
  <si>
    <t>положение 3 папки:</t>
  </si>
  <si>
    <t>смещение к 3 папке:</t>
  </si>
  <si>
    <t>B5 04 00 00</t>
  </si>
  <si>
    <t>номер 1 кластера файла:</t>
  </si>
  <si>
    <t>A6 00</t>
  </si>
  <si>
    <t>кластеров в файле:</t>
  </si>
  <si>
    <t>FAT_1 сектор:</t>
  </si>
  <si>
    <t>FAT_2 сектор:</t>
  </si>
  <si>
    <t>FAT_3 сектор:</t>
  </si>
  <si>
    <t>FAT_4 сектор:</t>
  </si>
  <si>
    <t>00000E00</t>
  </si>
  <si>
    <t>for FAT12:</t>
  </si>
  <si>
    <t>cnt FAT12:</t>
  </si>
  <si>
    <t>cnt FAT16:</t>
  </si>
  <si>
    <t>кластер 1 (ввод), строка-столбец (вывод):</t>
  </si>
  <si>
    <t>E3 00 00</t>
  </si>
  <si>
    <t>кластер 2 (ввод), строка-столбец (вывод):</t>
  </si>
  <si>
    <t>FF 6F 0E</t>
  </si>
  <si>
    <t>кластер 3 (ввод), строка-столбец (вывод):</t>
  </si>
  <si>
    <t>FF BF 10</t>
  </si>
  <si>
    <t>кластер 4 (ввод), строка-столбец (вывод):</t>
  </si>
  <si>
    <t>кластер 5 (ввод), строка-столбец (вывод):</t>
  </si>
  <si>
    <t>кластер 6 (ввод), строка-столбец (вывод):</t>
  </si>
  <si>
    <t>скачивать секторов для кажд. кластера:</t>
  </si>
  <si>
    <t>кластер 1 для скач. (ввод), смещение (вывод):</t>
  </si>
  <si>
    <t>кластер 2 для скач. (ввод), смещение (вывод):</t>
  </si>
  <si>
    <t>кластер 3 для скач. (ввод), смещение (вывод):</t>
  </si>
  <si>
    <t>кластер 4 для скач. (ввод), смещение (вывод):</t>
  </si>
  <si>
    <t>кластер 5 для скач. (ввод), смещение (вывод):</t>
  </si>
  <si>
    <t>кластер 6 для скач. (ввод), смещение (вывод):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</si>
</sst>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2"/>
      <color rgb="FF212529"/>
      <name val="System-Ui"/>
      <charset val="1"/>
    </font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0" fontId="0" fillId="2" borderId="0" xfId="0" applyFont="1" applyFill="1"/>
    <xf numFmtId="0" fontId="0" fillId="3" borderId="0" xfId="0" applyFill="1"/>
    <xf numFmtId="0" fontId="0" fillId="2" borderId="0" xfId="0" applyFill="1"/>
    <xf numFmtId="0" fontId="0" fillId="0" borderId="0" xfId="0" applyFill="1"/>
    <xf numFmtId="0" fontId="0" fillId="0" borderId="0" xfId="0" applyFont="1" applyAlignment="1">
      <alignment wrapText="1"/>
    </xf>
    <xf numFmtId="0" fontId="3" fillId="2" borderId="0" xfId="0" applyFont="1" applyFill="1"/>
    <xf numFmtId="0" fontId="0" fillId="4" borderId="0" xfId="0" applyFill="1"/>
    <xf numFmtId="49" fontId="0" fillId="4" borderId="0" xfId="0" applyNumberFormat="1" applyFill="1"/>
    <xf numFmtId="0" fontId="4" fillId="4" borderId="0" xfId="0" applyFont="1" applyFill="1" applyAlignment="1"/>
    <xf numFmtId="0" fontId="0" fillId="3" borderId="0" xfId="0" applyNumberFormat="1" applyFill="1" applyAlignment="1">
      <alignment wrapText="1"/>
    </xf>
    <xf numFmtId="0" fontId="0" fillId="2" borderId="0" xfId="0" applyFill="1" applyAlignment="1">
      <alignment wrapText="1"/>
    </xf>
    <xf numFmtId="0" fontId="1" fillId="4" borderId="0" xfId="0" applyFont="1" applyFill="1" applyAlignment="1">
      <alignment wrapText="1"/>
    </xf>
    <xf numFmtId="0" fontId="0" fillId="5" borderId="0" xfId="0" applyFill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0"/>
  <sheetViews>
    <sheetView workbookViewId="0">
      <selection activeCell="A20" sqref="A20"/>
    </sheetView>
  </sheetViews>
  <sheetFormatPr defaultRowHeight="15"/>
  <cols>
    <col min="1" max="1" width="29" bestFit="1" customWidth="1"/>
    <col min="2" max="2" width="32.85546875" bestFit="1" customWidth="1"/>
    <col min="5" max="5" width="15.85546875" bestFit="1" customWidth="1"/>
    <col min="7" max="7" width="25" bestFit="1" customWidth="1"/>
    <col min="9" max="9" width="14.5703125" bestFit="1" customWidth="1"/>
    <col min="10" max="10" width="26" customWidth="1"/>
    <col min="11" max="11" width="25.140625" customWidth="1"/>
    <col min="12" max="12" width="18.85546875" bestFit="1" customWidth="1"/>
    <col min="13" max="13" width="16.85546875" bestFit="1" customWidth="1"/>
    <col min="14" max="14" width="16.7109375" bestFit="1" customWidth="1"/>
    <col min="16" max="16" width="48.7109375" customWidth="1"/>
  </cols>
  <sheetData>
    <row r="1" spans="1:16" ht="15.75" customHeight="1">
      <c r="H1" t="s">
        <v>0</v>
      </c>
      <c r="I1" t="s">
        <v>1</v>
      </c>
      <c r="J1" t="s">
        <v>2</v>
      </c>
      <c r="K1" s="1" t="s">
        <v>3</v>
      </c>
      <c r="L1" t="s">
        <v>4</v>
      </c>
      <c r="M1" t="s">
        <v>5</v>
      </c>
      <c r="N1" t="s">
        <v>6</v>
      </c>
      <c r="P1" t="s">
        <v>7</v>
      </c>
    </row>
    <row r="2" spans="1:16" ht="15.75">
      <c r="H2">
        <v>12</v>
      </c>
      <c r="I2">
        <v>512</v>
      </c>
      <c r="J2">
        <v>1</v>
      </c>
      <c r="K2">
        <v>7</v>
      </c>
      <c r="L2">
        <v>1</v>
      </c>
      <c r="M2">
        <v>512</v>
      </c>
      <c r="N2">
        <v>6</v>
      </c>
      <c r="P2" s="2" t="s">
        <v>8</v>
      </c>
    </row>
    <row r="3" spans="1:16">
      <c r="H3">
        <f>IF(H2=12, 1.5, 2)</f>
        <v>1.5</v>
      </c>
    </row>
    <row r="7" spans="1:16">
      <c r="A7" t="s">
        <v>9</v>
      </c>
      <c r="E7" t="s">
        <v>10</v>
      </c>
      <c r="G7" t="s">
        <v>11</v>
      </c>
      <c r="I7" t="s">
        <v>12</v>
      </c>
    </row>
    <row r="8" spans="1:16" ht="15.75">
      <c r="A8">
        <f>K2+L2*N2</f>
        <v>13</v>
      </c>
      <c r="E8" s="3">
        <v>29</v>
      </c>
      <c r="G8">
        <v>72</v>
      </c>
      <c r="I8" s="4">
        <f>K2</f>
        <v>7</v>
      </c>
    </row>
    <row r="9" spans="1:16">
      <c r="A9" t="s">
        <v>13</v>
      </c>
      <c r="G9" t="s">
        <v>14</v>
      </c>
      <c r="I9">
        <f>$I8+$N$2</f>
        <v>13</v>
      </c>
    </row>
    <row r="10" spans="1:16" ht="15.75">
      <c r="A10">
        <f>M2 * 32 / I2</f>
        <v>32</v>
      </c>
      <c r="G10" s="2">
        <v>1205</v>
      </c>
      <c r="I10">
        <f t="shared" ref="I10:I11" si="0">$I9+$N$2</f>
        <v>19</v>
      </c>
    </row>
    <row r="11" spans="1:16">
      <c r="A11" t="s">
        <v>15</v>
      </c>
      <c r="E11" t="s">
        <v>16</v>
      </c>
      <c r="G11" t="s">
        <v>17</v>
      </c>
      <c r="I11">
        <f t="shared" si="0"/>
        <v>25</v>
      </c>
    </row>
    <row r="12" spans="1:16">
      <c r="A12">
        <f>A8+A10</f>
        <v>45</v>
      </c>
      <c r="E12">
        <v>227</v>
      </c>
      <c r="G12">
        <v>166</v>
      </c>
    </row>
    <row r="13" spans="1:16">
      <c r="A13" t="s">
        <v>18</v>
      </c>
      <c r="G13" t="s">
        <v>19</v>
      </c>
    </row>
    <row r="14" spans="1:16">
      <c r="A14">
        <f>(E8-2)*J2+A12</f>
        <v>72</v>
      </c>
      <c r="B14" t="s">
        <v>20</v>
      </c>
      <c r="G14">
        <f>CEILING(G10/(I2*J2), 1)</f>
        <v>3</v>
      </c>
    </row>
    <row r="17" spans="1:12" ht="29.25">
      <c r="A17" t="s">
        <v>21</v>
      </c>
      <c r="J17" t="s">
        <v>22</v>
      </c>
      <c r="K17" s="1" t="s">
        <v>23</v>
      </c>
      <c r="L17" t="s">
        <v>24</v>
      </c>
    </row>
    <row r="18" spans="1:12">
      <c r="A18">
        <v>3584</v>
      </c>
      <c r="J18">
        <v>166</v>
      </c>
      <c r="K18">
        <f>($J18-2)*$J$2+$A$12</f>
        <v>209</v>
      </c>
      <c r="L18">
        <f>$J$2</f>
        <v>1</v>
      </c>
    </row>
    <row r="19" spans="1:12">
      <c r="A19" t="s">
        <v>25</v>
      </c>
      <c r="J19">
        <v>179</v>
      </c>
      <c r="K19">
        <f t="shared" ref="K19:K23" si="1">($J19-2)*$J$2+$A$12</f>
        <v>222</v>
      </c>
      <c r="L19">
        <f t="shared" ref="L19:L23" si="2">$J$2</f>
        <v>1</v>
      </c>
    </row>
    <row r="20" spans="1:12">
      <c r="A20">
        <f>FLOOR(A18+E12*H3,1)</f>
        <v>3924</v>
      </c>
      <c r="B20" t="str">
        <f>DEC2HEX(A20)</f>
        <v>F54</v>
      </c>
      <c r="J20">
        <v>238</v>
      </c>
      <c r="K20">
        <f t="shared" si="1"/>
        <v>281</v>
      </c>
      <c r="L20">
        <f t="shared" si="2"/>
        <v>1</v>
      </c>
    </row>
    <row r="21" spans="1:12">
      <c r="A21">
        <f>A18+E12*H3</f>
        <v>3924.5</v>
      </c>
      <c r="B21" t="s">
        <v>26</v>
      </c>
      <c r="J21">
        <v>173</v>
      </c>
      <c r="K21">
        <f t="shared" si="1"/>
        <v>216</v>
      </c>
      <c r="L21">
        <f t="shared" si="2"/>
        <v>1</v>
      </c>
    </row>
    <row r="22" spans="1:12">
      <c r="J22">
        <v>188</v>
      </c>
      <c r="K22">
        <f t="shared" si="1"/>
        <v>231</v>
      </c>
      <c r="L22">
        <f t="shared" si="2"/>
        <v>1</v>
      </c>
    </row>
    <row r="23" spans="1:12">
      <c r="J23">
        <v>206</v>
      </c>
      <c r="K23">
        <f t="shared" si="1"/>
        <v>249</v>
      </c>
      <c r="L23">
        <f t="shared" si="2"/>
        <v>1</v>
      </c>
    </row>
    <row r="25" spans="1:12">
      <c r="E25" t="s">
        <v>27</v>
      </c>
    </row>
    <row r="29" spans="1:12">
      <c r="E29" t="s">
        <v>28</v>
      </c>
    </row>
    <row r="30" spans="1:12">
      <c r="E30" t="str" cm="1">
        <f t="array" aca="1" ref="E30" ca="1">CONCATENATE(IFERROR(RIGHT(E29,2),""),IFERROR(СРЕД(E29,LEN(E29)-3,2),""),IFERROR(СРЕД(E29,LEN(E29)-5,2),""),IFERROR(СРЕД(E29,LEN(E29)-7,2),""),IFERROR(СРЕД(E29,LEN(E29)-9,2),""),IFERROR(СРЕД(E29,LEN(E29)-11,2),""),IFERROR(СРЕД(E29,LEN(E29)-13,2),""),IFERROR(LEFT(E29,2),""))</f>
        <v>001D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98E66-1828-4134-8F7C-D0FE3E431A91}">
  <dimension ref="A1:R46"/>
  <sheetViews>
    <sheetView tabSelected="1" topLeftCell="A16" workbookViewId="0">
      <selection activeCell="B44" sqref="B44"/>
    </sheetView>
  </sheetViews>
  <sheetFormatPr defaultRowHeight="15"/>
  <cols>
    <col min="1" max="1" width="42" customWidth="1"/>
    <col min="2" max="2" width="11" bestFit="1" customWidth="1"/>
    <col min="3" max="3" width="13.5703125" customWidth="1"/>
    <col min="6" max="6" width="10.85546875" customWidth="1"/>
    <col min="7" max="7" width="10.42578125" customWidth="1"/>
    <col min="8" max="8" width="9.7109375" customWidth="1"/>
    <col min="9" max="9" width="11.7109375" customWidth="1"/>
    <col min="11" max="11" width="10" customWidth="1"/>
    <col min="12" max="12" width="10.140625" bestFit="1" customWidth="1"/>
    <col min="13" max="13" width="9.5703125" customWidth="1"/>
    <col min="15" max="15" width="10" customWidth="1"/>
    <col min="18" max="18" width="31" customWidth="1"/>
  </cols>
  <sheetData>
    <row r="1" spans="1:18">
      <c r="A1" t="s">
        <v>29</v>
      </c>
      <c r="B1" s="11">
        <v>12</v>
      </c>
      <c r="C1" s="6">
        <f>IF(B1=12, 1.5, 2)</f>
        <v>1.5</v>
      </c>
      <c r="R1" t="s">
        <v>30</v>
      </c>
    </row>
    <row r="2" spans="1:18" ht="18" customHeight="1">
      <c r="A2" t="s">
        <v>31</v>
      </c>
      <c r="B2" s="11">
        <v>512</v>
      </c>
      <c r="R2" s="16" t="s">
        <v>32</v>
      </c>
    </row>
    <row r="3" spans="1:18">
      <c r="A3" t="s">
        <v>33</v>
      </c>
      <c r="B3" s="11">
        <v>1</v>
      </c>
    </row>
    <row r="4" spans="1:18">
      <c r="A4" t="s">
        <v>34</v>
      </c>
      <c r="B4" s="11">
        <v>7</v>
      </c>
    </row>
    <row r="5" spans="1:18">
      <c r="A5" t="s">
        <v>35</v>
      </c>
      <c r="B5" s="11">
        <v>1</v>
      </c>
    </row>
    <row r="6" spans="1:18">
      <c r="A6" t="s">
        <v>36</v>
      </c>
      <c r="B6" s="11">
        <v>512</v>
      </c>
    </row>
    <row r="7" spans="1:18">
      <c r="A7" t="s">
        <v>37</v>
      </c>
      <c r="B7" s="11">
        <v>6</v>
      </c>
    </row>
    <row r="9" spans="1:18">
      <c r="A9" t="s">
        <v>9</v>
      </c>
      <c r="B9" s="5">
        <f>B4+B5*B7</f>
        <v>13</v>
      </c>
    </row>
    <row r="10" spans="1:18">
      <c r="A10" t="s">
        <v>13</v>
      </c>
      <c r="B10" s="6">
        <f>B6 * 32 / B2</f>
        <v>32</v>
      </c>
    </row>
    <row r="11" spans="1:18">
      <c r="A11" t="s">
        <v>15</v>
      </c>
      <c r="B11" s="7">
        <f>B9+B10</f>
        <v>45</v>
      </c>
    </row>
    <row r="13" spans="1:18">
      <c r="A13" t="s">
        <v>38</v>
      </c>
      <c r="B13" s="11" t="s">
        <v>39</v>
      </c>
      <c r="C13" s="9"/>
    </row>
    <row r="14" spans="1:18">
      <c r="A14" t="s">
        <v>40</v>
      </c>
      <c r="B14" s="6" t="str">
        <f>"0x"&amp;RIGHT(B13,2)&amp;LEFT(B13,2)</f>
        <v>0x0022</v>
      </c>
      <c r="C14" s="6">
        <f>_xlfn.DECIMAL(MID(B14,3,LEN(B14)-2), 16)</f>
        <v>34</v>
      </c>
      <c r="D14" s="7">
        <f>(C14-2)*B3+B11</f>
        <v>77</v>
      </c>
    </row>
    <row r="15" spans="1:18">
      <c r="A15" t="s">
        <v>41</v>
      </c>
      <c r="B15" s="11" t="s">
        <v>42</v>
      </c>
      <c r="C15" s="9"/>
    </row>
    <row r="16" spans="1:18">
      <c r="A16" t="s">
        <v>43</v>
      </c>
      <c r="B16" s="6" t="str">
        <f>"0x"&amp;RIGHT(B15,2)&amp;LEFT(B15,2)</f>
        <v>0x0003</v>
      </c>
      <c r="C16" s="6">
        <f>_xlfn.DECIMAL(MID(B16,3,LEN(B16)-2), 16)</f>
        <v>3</v>
      </c>
      <c r="D16" s="7">
        <f>(C16-2)*B3+B11</f>
        <v>46</v>
      </c>
    </row>
    <row r="17" spans="1:15">
      <c r="A17" t="s">
        <v>44</v>
      </c>
      <c r="B17" s="11" t="s">
        <v>28</v>
      </c>
      <c r="C17" s="9"/>
    </row>
    <row r="18" spans="1:15">
      <c r="A18" t="s">
        <v>45</v>
      </c>
      <c r="B18" s="6" t="str">
        <f>"0x"&amp;RIGHT(B17,2)&amp;LEFT(B17,2)</f>
        <v>0x001D</v>
      </c>
      <c r="C18" s="6">
        <f>_xlfn.DECIMAL(MID(B18,3,LEN(B18)-2), 16)</f>
        <v>29</v>
      </c>
      <c r="D18" s="7">
        <f>(C18-2)*B3+B11</f>
        <v>72</v>
      </c>
    </row>
    <row r="20" spans="1:15">
      <c r="A20" t="s">
        <v>11</v>
      </c>
      <c r="B20" s="6">
        <f>D18</f>
        <v>72</v>
      </c>
      <c r="E20" s="8"/>
    </row>
    <row r="21" spans="1:15">
      <c r="A21" t="s">
        <v>14</v>
      </c>
      <c r="B21" s="11" t="s">
        <v>46</v>
      </c>
      <c r="C21" s="6" t="str">
        <f>"0x"&amp;MID(SUBSTITUTE(B21," ",""),7,2)&amp;MID(SUBSTITUTE(B21," ",""),5,2)&amp;MID(SUBSTITUTE(B21," ",""),3,2)&amp;MID(SUBSTITUTE(B21," ",""),1,2)</f>
        <v>0x000004B5</v>
      </c>
      <c r="D21" s="7">
        <f>_xlfn.DECIMAL(MID(C21,3,LEN(C21)-2), 16)</f>
        <v>1205</v>
      </c>
      <c r="E21" s="17"/>
    </row>
    <row r="22" spans="1:15">
      <c r="A22" t="s">
        <v>47</v>
      </c>
      <c r="B22" s="11" t="s">
        <v>48</v>
      </c>
      <c r="C22" s="6" t="str">
        <f>"0x"&amp;RIGHT(B22,2)&amp;LEFT(B22,2)</f>
        <v>0x00A6</v>
      </c>
      <c r="D22" s="7">
        <f>_xlfn.DECIMAL(MID(C22,3,LEN(C22)-2), 16)</f>
        <v>166</v>
      </c>
    </row>
    <row r="23" spans="1:15">
      <c r="A23" t="s">
        <v>49</v>
      </c>
      <c r="B23" s="10">
        <f>CEILING(D21/(B2*B3), 1)</f>
        <v>3</v>
      </c>
    </row>
    <row r="25" spans="1:15">
      <c r="A25" t="s">
        <v>50</v>
      </c>
      <c r="B25" s="7">
        <f>B4</f>
        <v>7</v>
      </c>
    </row>
    <row r="26" spans="1:15">
      <c r="A26" t="s">
        <v>51</v>
      </c>
      <c r="B26" s="6">
        <f>$B25+$B$7</f>
        <v>13</v>
      </c>
    </row>
    <row r="27" spans="1:15">
      <c r="A27" t="s">
        <v>52</v>
      </c>
      <c r="B27" s="6">
        <f t="shared" ref="B27:B28" si="0">$B26+$B$7</f>
        <v>19</v>
      </c>
    </row>
    <row r="28" spans="1:15">
      <c r="A28" t="s">
        <v>53</v>
      </c>
      <c r="B28" s="6">
        <f t="shared" si="0"/>
        <v>25</v>
      </c>
    </row>
    <row r="30" spans="1:15" ht="17.25" customHeight="1">
      <c r="A30" t="s">
        <v>21</v>
      </c>
      <c r="B30" s="12" t="s">
        <v>54</v>
      </c>
      <c r="C30" s="6" t="str">
        <f>"0x"&amp;B30</f>
        <v>0x00000E00</v>
      </c>
      <c r="D30" s="7">
        <f>_xlfn.DECIMAL(MID(C30,3,LEN(C30)-2), 16)</f>
        <v>3584</v>
      </c>
    </row>
    <row r="31" spans="1:15" ht="18" customHeight="1">
      <c r="C31" s="1" t="s">
        <v>55</v>
      </c>
      <c r="G31" t="s">
        <v>56</v>
      </c>
      <c r="L31" t="s">
        <v>57</v>
      </c>
    </row>
    <row r="32" spans="1:15" ht="16.5" customHeight="1">
      <c r="A32" t="s">
        <v>58</v>
      </c>
      <c r="B32" s="6">
        <f>D22</f>
        <v>166</v>
      </c>
      <c r="C32" s="6">
        <f>$D$30+$B32*$C$1</f>
        <v>3833</v>
      </c>
      <c r="D32" s="6">
        <f>FLOOR($D$30+$B32*$C$1,1)</f>
        <v>3833</v>
      </c>
      <c r="E32" s="7" t="str">
        <f>DEC2HEX(D32)</f>
        <v>EF9</v>
      </c>
      <c r="F32" t="str">
        <f>IF($B$23&gt;=VALUE(MID($A32,9,1)),"нужен",IF($B$23=VALUE(MID($A32,9,1))-1,"проверить","не нужен"))</f>
        <v>нужен</v>
      </c>
      <c r="G32" s="13" t="s">
        <v>59</v>
      </c>
      <c r="H32" s="14" t="str">
        <f>MID(SUBSTITUTE($G32," ",""),5,2) &amp; " " &amp; MID(SUBSTITUTE($G32," ",""),3,2) &amp; " " &amp; MID(SUBSTITUTE($G32," ",""),1,2)</f>
        <v>00 00 E3</v>
      </c>
      <c r="I32" s="6" t="str">
        <f>IF(MOD($C32,1)=0, "0x" &amp; RIGHT(SUBSTITUTE($H32," ",""), 3), "0x" &amp; LEFT(SUBSTITUTE($H32," ",""), 3))</f>
        <v>0x0E3</v>
      </c>
      <c r="J32" s="15">
        <f>_xlfn.DECIMAL(I32, 16)</f>
        <v>227</v>
      </c>
      <c r="K32" t="str">
        <f>IF($B$23&gt;=VALUE(MID($A32,9,1)),"нужен",IF($B$23=VALUE(MID($A32,9,1))-1,"проверить","не нужен"))</f>
        <v>нужен</v>
      </c>
      <c r="L32" s="13"/>
      <c r="M32" s="14" t="str">
        <f>RIGHT(L32,2)&amp;LEFT(L32,2)</f>
        <v/>
      </c>
      <c r="N32" s="15">
        <f>_xlfn.DECIMAL(M32, 16)</f>
        <v>0</v>
      </c>
      <c r="O32" t="str">
        <f>IF($B$23&gt;=VALUE(MID($A32,9,1)),"нужен",IF($B$23=VALUE(MID($A32,9,1))-1,"проверить","не нужен"))</f>
        <v>нужен</v>
      </c>
    </row>
    <row r="33" spans="1:15" ht="16.5" customHeight="1">
      <c r="A33" t="s">
        <v>60</v>
      </c>
      <c r="B33" s="11">
        <v>227</v>
      </c>
      <c r="C33" s="6">
        <f t="shared" ref="C33:C37" si="1">$D$30+$B33*$C$1</f>
        <v>3924.5</v>
      </c>
      <c r="D33" s="6">
        <f t="shared" ref="D33:D37" si="2">FLOOR($D$30+$B33*$C$1,1)</f>
        <v>3924</v>
      </c>
      <c r="E33" s="7" t="str">
        <f>DEC2HEX(D33)</f>
        <v>F54</v>
      </c>
      <c r="F33" t="str">
        <f t="shared" ref="F33:F37" si="3">IF($B$23&gt;=VALUE(MID($A33,9,1)),"нужен",IF($B$23=VALUE(MID($A33,9,1))-1,"проверить","не нужен"))</f>
        <v>нужен</v>
      </c>
      <c r="G33" s="13" t="s">
        <v>61</v>
      </c>
      <c r="H33" s="14" t="str">
        <f t="shared" ref="H33:H37" si="4">MID(SUBSTITUTE($G33," ",""),5,2) &amp; " " &amp; MID(SUBSTITUTE($G33," ",""),3,2) &amp; " " &amp; MID(SUBSTITUTE($G33," ",""),1,2)</f>
        <v>0E 6F FF</v>
      </c>
      <c r="I33" s="6" t="str">
        <f>IF(MOD($C33,1)=0, "0x" &amp; RIGHT(SUBSTITUTE($H33," ",""), 3), "0x" &amp; LEFT(SUBSTITUTE($H33," ",""), 3))</f>
        <v>0x0E6</v>
      </c>
      <c r="J33" s="15">
        <f t="shared" ref="J33:J37" si="5">_xlfn.DECIMAL(I33, 16)</f>
        <v>230</v>
      </c>
      <c r="K33" t="str">
        <f t="shared" ref="K33:K37" si="6">IF($B$23&gt;=VALUE(MID($A33,9,1)),"нужен",IF($B$23=VALUE(MID($A33,9,1))-1,"проверить","не нужен"))</f>
        <v>нужен</v>
      </c>
      <c r="L33" s="13"/>
      <c r="M33" s="14" t="str">
        <f t="shared" ref="M33:M37" si="7">RIGHT(L33,2)&amp;LEFT(L33,2)</f>
        <v/>
      </c>
      <c r="N33" s="15">
        <f t="shared" ref="N33:N37" si="8">_xlfn.DECIMAL(M33, 16)</f>
        <v>0</v>
      </c>
      <c r="O33" t="str">
        <f t="shared" ref="O33:O37" si="9">IF($B$23&gt;=VALUE(MID($A33,9,1)),"нужен",IF($B$23=VALUE(MID($A33,9,1))-1,"проверить","не нужен"))</f>
        <v>нужен</v>
      </c>
    </row>
    <row r="34" spans="1:15">
      <c r="A34" t="s">
        <v>62</v>
      </c>
      <c r="B34" s="11">
        <v>230</v>
      </c>
      <c r="C34" s="6">
        <f t="shared" si="1"/>
        <v>3929</v>
      </c>
      <c r="D34" s="6">
        <f t="shared" si="2"/>
        <v>3929</v>
      </c>
      <c r="E34" s="7" t="str">
        <f>DEC2HEX(D34)</f>
        <v>F59</v>
      </c>
      <c r="F34" t="str">
        <f t="shared" si="3"/>
        <v>нужен</v>
      </c>
      <c r="G34" s="13" t="s">
        <v>63</v>
      </c>
      <c r="H34" s="14" t="str">
        <f t="shared" si="4"/>
        <v>10 BF FF</v>
      </c>
      <c r="I34" s="6" t="str">
        <f t="shared" ref="I33:I37" si="10">IF(MOD($C34,1)=0, "0x" &amp; RIGHT(SUBSTITUTE($H34," ",""), 3), "0x" &amp; LEFT(SUBSTITUTE($H34," ",""), 3))</f>
        <v>0xFFF</v>
      </c>
      <c r="J34" s="15">
        <f t="shared" si="5"/>
        <v>4095</v>
      </c>
      <c r="K34" t="str">
        <f t="shared" si="6"/>
        <v>нужен</v>
      </c>
      <c r="L34" s="13"/>
      <c r="M34" s="14" t="str">
        <f t="shared" si="7"/>
        <v/>
      </c>
      <c r="N34" s="15">
        <f t="shared" si="8"/>
        <v>0</v>
      </c>
      <c r="O34" t="str">
        <f t="shared" si="9"/>
        <v>нужен</v>
      </c>
    </row>
    <row r="35" spans="1:15">
      <c r="A35" t="s">
        <v>64</v>
      </c>
      <c r="B35" s="11"/>
      <c r="C35" s="6">
        <f t="shared" si="1"/>
        <v>3584</v>
      </c>
      <c r="D35" s="6">
        <f t="shared" si="2"/>
        <v>3584</v>
      </c>
      <c r="E35" s="7" t="str">
        <f t="shared" ref="E33:E37" si="11">DEC2HEX(D35)</f>
        <v>E00</v>
      </c>
      <c r="F35" t="str">
        <f t="shared" si="3"/>
        <v>проверить</v>
      </c>
      <c r="G35" s="13"/>
      <c r="H35" s="14" t="str">
        <f t="shared" si="4"/>
        <v xml:space="preserve">  </v>
      </c>
      <c r="I35" s="6" t="str">
        <f t="shared" si="10"/>
        <v>0x</v>
      </c>
      <c r="J35" s="15">
        <f t="shared" si="5"/>
        <v>0</v>
      </c>
      <c r="K35" t="str">
        <f t="shared" si="6"/>
        <v>проверить</v>
      </c>
      <c r="L35" s="13"/>
      <c r="M35" s="14" t="str">
        <f>RIGHT(L35,2)&amp;LEFT(L35,2)</f>
        <v/>
      </c>
      <c r="N35" s="15">
        <f t="shared" si="8"/>
        <v>0</v>
      </c>
      <c r="O35" t="str">
        <f t="shared" si="9"/>
        <v>проверить</v>
      </c>
    </row>
    <row r="36" spans="1:15">
      <c r="A36" t="s">
        <v>65</v>
      </c>
      <c r="B36" s="11"/>
      <c r="C36" s="6">
        <f t="shared" si="1"/>
        <v>3584</v>
      </c>
      <c r="D36" s="6">
        <f t="shared" si="2"/>
        <v>3584</v>
      </c>
      <c r="E36" s="7" t="str">
        <f t="shared" si="11"/>
        <v>E00</v>
      </c>
      <c r="F36" t="str">
        <f>IF($B$23&gt;=VALUE(MID($A36,9,1)),"нужен",IF($B$23=VALUE(MID($A36,9,1))-1,"FFFFFFFFF","не нужен"))</f>
        <v>не нужен</v>
      </c>
      <c r="G36" s="13"/>
      <c r="H36" s="14" t="str">
        <f t="shared" si="4"/>
        <v xml:space="preserve">  </v>
      </c>
      <c r="I36" s="6" t="str">
        <f t="shared" si="10"/>
        <v>0x</v>
      </c>
      <c r="J36" s="15">
        <f t="shared" si="5"/>
        <v>0</v>
      </c>
      <c r="K36" t="str">
        <f>IF($B$23&gt;=VALUE(MID($A36,9,1)),"нужен",IF($B$23=VALUE(MID($A36,9,1))-1,"FFF","не нужен"))</f>
        <v>не нужен</v>
      </c>
      <c r="L36" s="13"/>
      <c r="M36" s="14" t="str">
        <f t="shared" si="7"/>
        <v/>
      </c>
      <c r="N36" s="15">
        <f t="shared" si="8"/>
        <v>0</v>
      </c>
      <c r="O36" t="str">
        <f>IF($B$23&gt;=VALUE(MID($A36,9,1)),"нужен",IF($B$23=VALUE(MID($A36,9,1))-1,"FF","не нужен"))</f>
        <v>не нужен</v>
      </c>
    </row>
    <row r="37" spans="1:15">
      <c r="A37" t="s">
        <v>66</v>
      </c>
      <c r="B37" s="11"/>
      <c r="C37" s="6">
        <f t="shared" si="1"/>
        <v>3584</v>
      </c>
      <c r="D37" s="6">
        <f t="shared" si="2"/>
        <v>3584</v>
      </c>
      <c r="E37" s="7" t="str">
        <f t="shared" si="11"/>
        <v>E00</v>
      </c>
      <c r="F37" t="str">
        <f t="shared" si="3"/>
        <v>не нужен</v>
      </c>
      <c r="G37" s="13"/>
      <c r="H37" s="14" t="str">
        <f t="shared" si="4"/>
        <v xml:space="preserve">  </v>
      </c>
      <c r="I37" s="6" t="str">
        <f t="shared" si="10"/>
        <v>0x</v>
      </c>
      <c r="J37" s="15">
        <f t="shared" si="5"/>
        <v>0</v>
      </c>
      <c r="K37" t="str">
        <f t="shared" si="6"/>
        <v>не нужен</v>
      </c>
      <c r="L37" s="13"/>
      <c r="M37" s="14" t="str">
        <f t="shared" si="7"/>
        <v/>
      </c>
      <c r="N37" s="15">
        <f t="shared" si="8"/>
        <v>0</v>
      </c>
      <c r="O37" t="str">
        <f t="shared" si="9"/>
        <v>не нужен</v>
      </c>
    </row>
    <row r="40" spans="1:15">
      <c r="A40" t="s">
        <v>67</v>
      </c>
      <c r="B40" s="7">
        <f>B3</f>
        <v>1</v>
      </c>
    </row>
    <row r="41" spans="1:15">
      <c r="A41" s="1" t="s">
        <v>68</v>
      </c>
      <c r="B41" s="11">
        <v>166</v>
      </c>
      <c r="C41" s="7">
        <f>($B41-2)*$B$40+$B$11</f>
        <v>209</v>
      </c>
      <c r="D41" t="str">
        <f>IF($B$23&gt;=VALUE(MID($A41,9,1)),"скачивать","не скачивать")</f>
        <v>скачивать</v>
      </c>
    </row>
    <row r="42" spans="1:15">
      <c r="A42" s="1" t="s">
        <v>69</v>
      </c>
      <c r="B42" s="11">
        <v>227</v>
      </c>
      <c r="C42" s="7">
        <f>($B42-2)*$B$40+$B$11</f>
        <v>270</v>
      </c>
      <c r="D42" t="str">
        <f t="shared" ref="D42:D46" si="12">IF($B$23&gt;=VALUE(MID($A42,9,1)),"скачивать","не скачивать")</f>
        <v>скачивать</v>
      </c>
    </row>
    <row r="43" spans="1:15">
      <c r="A43" s="1" t="s">
        <v>70</v>
      </c>
      <c r="B43" s="11">
        <v>230</v>
      </c>
      <c r="C43" s="7">
        <f>($B43-2)*$B$40+$B$11</f>
        <v>273</v>
      </c>
      <c r="D43" t="str">
        <f t="shared" si="12"/>
        <v>скачивать</v>
      </c>
    </row>
    <row r="44" spans="1:15">
      <c r="A44" s="1" t="s">
        <v>71</v>
      </c>
      <c r="B44" s="11"/>
      <c r="C44" s="7">
        <f>($B44-2)*$B$40+$B$11</f>
        <v>43</v>
      </c>
      <c r="D44" t="str">
        <f t="shared" si="12"/>
        <v>не скачивать</v>
      </c>
    </row>
    <row r="45" spans="1:15">
      <c r="A45" t="s">
        <v>72</v>
      </c>
      <c r="B45" s="11"/>
      <c r="C45" s="7">
        <f>($B45-2)*$B$40+$B$11</f>
        <v>43</v>
      </c>
      <c r="D45" t="str">
        <f t="shared" si="12"/>
        <v>не скачивать</v>
      </c>
    </row>
    <row r="46" spans="1:15">
      <c r="A46" t="s">
        <v>73</v>
      </c>
      <c r="B46" s="11"/>
      <c r="C46" s="7">
        <f>($B46-2)*$B$40+$B$11</f>
        <v>43</v>
      </c>
      <c r="D46" t="str">
        <f t="shared" si="12"/>
        <v>не скачивать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2025-06-04T18:42:38Z</dcterms:created>
  <dcterms:modified xsi:type="dcterms:W3CDTF">2025-06-06T17:12:02Z</dcterms:modified>
  <cp:category/>
  <cp:contentStatus/>
</cp:coreProperties>
</file>