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C:\Users\cotei\OneDrive\Desktop\Rtu_MIREA\2 курс\4 семестр\Операционные системы\Допуск\ntfs\"/>
    </mc:Choice>
  </mc:AlternateContent>
  <xr:revisionPtr revIDLastSave="0" documentId="13_ncr:1_{4559A338-8AF4-44E9-9461-24370A9529AA}" xr6:coauthVersionLast="47" xr6:coauthVersionMax="47" xr10:uidLastSave="{00000000-0000-0000-0000-000000000000}"/>
  <bookViews>
    <workbookView xWindow="6735" yWindow="2880" windowWidth="21600" windowHeight="11333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1" l="1"/>
  <c r="B55" i="1"/>
  <c r="B45" i="1"/>
  <c r="B39" i="1"/>
  <c r="B63" i="1"/>
  <c r="C62" i="1"/>
  <c r="C61" i="1"/>
  <c r="C33" i="1"/>
  <c r="C60" i="1"/>
  <c r="D60" i="1" s="1"/>
  <c r="C59" i="1"/>
  <c r="D59" i="1" s="1"/>
  <c r="B56" i="1"/>
  <c r="C56" i="1" s="1"/>
  <c r="C54" i="1"/>
  <c r="D54" i="1" s="1"/>
  <c r="E54" i="1" s="1"/>
  <c r="C52" i="1"/>
  <c r="D52" i="1" s="1"/>
  <c r="C53" i="1"/>
  <c r="D53" i="1" s="1"/>
  <c r="C51" i="1"/>
  <c r="C48" i="1"/>
  <c r="D48" i="1" s="1"/>
  <c r="C46" i="1"/>
  <c r="D46" i="1" s="1"/>
  <c r="E46" i="1" s="1"/>
  <c r="B47" i="1" s="1"/>
  <c r="C44" i="1"/>
  <c r="D44" i="1" s="1"/>
  <c r="C42" i="1"/>
  <c r="D42" i="1" s="1"/>
  <c r="E42" i="1" s="1"/>
  <c r="B43" i="1" s="1"/>
  <c r="C40" i="1"/>
  <c r="D40" i="1" s="1"/>
  <c r="C38" i="1"/>
  <c r="D38" i="1" s="1"/>
  <c r="E38" i="1" s="1"/>
  <c r="C36" i="1"/>
  <c r="D36" i="1" s="1"/>
  <c r="C31" i="1"/>
  <c r="D31" i="1" s="1"/>
  <c r="C30" i="1"/>
  <c r="D30" i="1" s="1"/>
  <c r="B24" i="1"/>
  <c r="C24" i="1" s="1"/>
  <c r="D24" i="1" s="1"/>
  <c r="B27" i="1" s="1"/>
  <c r="B6" i="1"/>
  <c r="B7" i="1" s="1"/>
  <c r="B25" i="1"/>
  <c r="C25" i="1" s="1"/>
  <c r="C22" i="1"/>
  <c r="D22" i="1"/>
  <c r="C20" i="1"/>
  <c r="D20" i="1"/>
  <c r="C16" i="1"/>
  <c r="D16" i="1" s="1"/>
  <c r="B17" i="1" s="1"/>
  <c r="C17" i="1" s="1"/>
  <c r="C13" i="1"/>
  <c r="D13" i="1" s="1"/>
  <c r="C9" i="1"/>
  <c r="D9" i="1" s="1"/>
  <c r="B34" i="1" l="1"/>
  <c r="C34" i="1" s="1"/>
  <c r="B37" i="1"/>
  <c r="B41" i="1"/>
  <c r="B49" i="1"/>
  <c r="B10" i="1"/>
  <c r="B11" i="1" s="1"/>
  <c r="B21" i="1"/>
  <c r="C21" i="1" s="1"/>
  <c r="B14" i="1"/>
  <c r="C14" i="1" s="1"/>
  <c r="C27" i="1"/>
  <c r="B28" i="1"/>
  <c r="C10" i="1"/>
  <c r="D34" i="1"/>
</calcChain>
</file>

<file path=xl/sharedStrings.xml><?xml version="1.0" encoding="utf-8"?>
<sst xmlns="http://schemas.openxmlformats.org/spreadsheetml/2006/main" count="93" uniqueCount="80">
  <si>
    <t>система:</t>
  </si>
  <si>
    <t>NTFS💀🔪🩸</t>
  </si>
  <si>
    <t>размер 1 сектора в байтах:</t>
  </si>
  <si>
    <t>кол-во секторов в 1 кластере:</t>
  </si>
  <si>
    <t>нерезидентный - скачивать много файлов, резидентный - скачать 1 файл</t>
  </si>
  <si>
    <t>смещение до MFT-таблицы в класт.:</t>
  </si>
  <si>
    <t>реальное смещение до MFT:</t>
  </si>
  <si>
    <t>1 сектор MFT:</t>
  </si>
  <si>
    <t>перех. сюда</t>
  </si>
  <si>
    <t>размер записи MFT:</t>
  </si>
  <si>
    <t>00 04 00 00</t>
  </si>
  <si>
    <t>смещение до корневой папки:</t>
  </si>
  <si>
    <t>сектор корневой папки:</t>
  </si>
  <si>
    <t>смещение от тек. пап. до табл. атр.:</t>
  </si>
  <si>
    <t>38 00</t>
  </si>
  <si>
    <t>начало таблицы атрибутов:</t>
  </si>
  <si>
    <t>сохр. смещ.:</t>
  </si>
  <si>
    <t>сохр. разм.:</t>
  </si>
  <si>
    <t>кастомный M:</t>
  </si>
  <si>
    <t>0x5528</t>
  </si>
  <si>
    <t>48 00 00 00</t>
  </si>
  <si>
    <t>размер атрибута:</t>
  </si>
  <si>
    <t>начало следующего атрибута:</t>
  </si>
  <si>
    <t>итоговое смещение до A0:</t>
  </si>
  <si>
    <t>смещение до СС от начала атр.:</t>
  </si>
  <si>
    <t>48 00</t>
  </si>
  <si>
    <t>смещение до списка серий:</t>
  </si>
  <si>
    <t xml:space="preserve"> размер данных в атрубуте:</t>
  </si>
  <si>
    <t>00 10 00 00</t>
  </si>
  <si>
    <t>список серий для root:</t>
  </si>
  <si>
    <t>смещение до обл. данных в кластерах от 0:</t>
  </si>
  <si>
    <t>столько кластеров занимает область данных:</t>
  </si>
  <si>
    <t>область данных на таблице индексов:</t>
  </si>
  <si>
    <t>сектор таблицы индексов:</t>
  </si>
  <si>
    <t>смещение до списка маркеров:</t>
  </si>
  <si>
    <t>28 00</t>
  </si>
  <si>
    <t>количество маркеров в списке:</t>
  </si>
  <si>
    <t>09 00</t>
  </si>
  <si>
    <t>добавлено маркеров:</t>
  </si>
  <si>
    <t xml:space="preserve"> offset таблицы индексов:</t>
  </si>
  <si>
    <t>00406200</t>
  </si>
  <si>
    <t>смещение до начала данных табл. инд.:</t>
  </si>
  <si>
    <t>1 папка, 8 байт влево от 60 (слева от L'):</t>
  </si>
  <si>
    <t>смещение в сектор 1 папки (не root):</t>
  </si>
  <si>
    <t>список серий для корня папки 1:</t>
  </si>
  <si>
    <t>сектор таблицы индексов для папки 1:</t>
  </si>
  <si>
    <t>2 папка, 8 байт влево от 60 (слева от L'):</t>
  </si>
  <si>
    <t>смещение в сектор 2 папки (не root):</t>
  </si>
  <si>
    <t>сектор таблицы индексов для папки 2:</t>
  </si>
  <si>
    <t>3 папка, 8 байт влево от 60 (слева от L'):</t>
  </si>
  <si>
    <t>смещение в сектор 3 папки (не root):</t>
  </si>
  <si>
    <t>список серий для корня папки 3:</t>
  </si>
  <si>
    <t>21 01 BB 2E</t>
  </si>
  <si>
    <t>сектор таблицы индексов для папки 3:</t>
  </si>
  <si>
    <t>ФАЙЛ, 8 байт влево от 60 (слева от L'):</t>
  </si>
  <si>
    <t>33 01</t>
  </si>
  <si>
    <t>флаг резидентности:</t>
  </si>
  <si>
    <t>40 00 00 00</t>
  </si>
  <si>
    <t>вес файла:</t>
  </si>
  <si>
    <t>список серий файла:</t>
  </si>
  <si>
    <t>смещение до начала данных в файле:</t>
  </si>
  <si>
    <t>количество кластеров для скачивания:</t>
  </si>
  <si>
    <t>количество файлов для скачивания:</t>
  </si>
  <si>
    <t>вес файла (резидентного):</t>
  </si>
  <si>
    <t>55 00 00 00</t>
  </si>
  <si>
    <t>смещение до данных от атрибута 80:</t>
  </si>
  <si>
    <t>18 00 00 00</t>
  </si>
  <si>
    <t>начальный offset сектора:</t>
  </si>
  <si>
    <t>00050C00</t>
  </si>
  <si>
    <t>offset для атрибута 80 00 00:</t>
  </si>
  <si>
    <t>00050D50</t>
  </si>
  <si>
    <t>вставлять вместо skip в формулу:</t>
  </si>
  <si>
    <t>21 02 D9 09</t>
  </si>
  <si>
    <t>40 00</t>
  </si>
  <si>
    <t>21 02 3A 3B</t>
  </si>
  <si>
    <t>8C 00</t>
  </si>
  <si>
    <t>21 02 3C 4B</t>
  </si>
  <si>
    <t>04 01</t>
  </si>
  <si>
    <t>EB 0B 00 00</t>
  </si>
  <si>
    <t>21 02 DF 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</si>
</sst>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3" borderId="2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 applyBorder="1"/>
    <xf numFmtId="0" fontId="0" fillId="4" borderId="0" xfId="0" applyFill="1" applyBorder="1"/>
    <xf numFmtId="0" fontId="0" fillId="0" borderId="5" xfId="0" applyBorder="1"/>
    <xf numFmtId="0" fontId="0" fillId="3" borderId="0" xfId="0" applyFill="1" applyBorder="1"/>
    <xf numFmtId="0" fontId="0" fillId="0" borderId="0" xfId="0" applyBorder="1"/>
    <xf numFmtId="0" fontId="0" fillId="5" borderId="5" xfId="0" applyFill="1" applyBorder="1"/>
    <xf numFmtId="0" fontId="0" fillId="5" borderId="7" xfId="0" applyFill="1" applyBorder="1"/>
    <xf numFmtId="0" fontId="0" fillId="4" borderId="7" xfId="0" applyFill="1" applyBorder="1"/>
    <xf numFmtId="0" fontId="0" fillId="0" borderId="8" xfId="0" applyBorder="1"/>
    <xf numFmtId="0" fontId="0" fillId="6" borderId="1" xfId="0" applyFill="1" applyBorder="1"/>
    <xf numFmtId="0" fontId="0" fillId="6" borderId="4" xfId="0" applyFill="1" applyBorder="1"/>
    <xf numFmtId="0" fontId="0" fillId="6" borderId="6" xfId="0" applyFill="1" applyBorder="1"/>
    <xf numFmtId="49" fontId="0" fillId="3" borderId="0" xfId="0" applyNumberFormat="1" applyFill="1" applyBorder="1"/>
    <xf numFmtId="0" fontId="0" fillId="5" borderId="7" xfId="0" applyFill="1" applyBorder="1" applyAlignment="1">
      <alignment wrapText="1"/>
    </xf>
    <xf numFmtId="0" fontId="0" fillId="0" borderId="8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13</xdr:row>
      <xdr:rowOff>0</xdr:rowOff>
    </xdr:from>
    <xdr:to>
      <xdr:col>6</xdr:col>
      <xdr:colOff>4114800</xdr:colOff>
      <xdr:row>16</xdr:row>
      <xdr:rowOff>9525</xdr:rowOff>
    </xdr:to>
    <xdr:sp macro="" textlink="">
      <xdr:nvSpPr>
        <xdr:cNvPr id="2" name="Надпись 1">
          <a:extLst>
            <a:ext uri="{FF2B5EF4-FFF2-40B4-BE49-F238E27FC236}">
              <a16:creationId xmlns:a16="http://schemas.microsoft.com/office/drawing/2014/main" id="{D421BA5B-270C-0AA0-63D0-5225DB7C5A5C}"/>
            </a:ext>
          </a:extLst>
        </xdr:cNvPr>
        <xdr:cNvSpPr txBox="1"/>
      </xdr:nvSpPr>
      <xdr:spPr>
        <a:xfrm>
          <a:off x="7143750" y="2247900"/>
          <a:ext cx="41052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строки с 13 по 17 лучше пропускать,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использовать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ctrl + f "A0",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далее переходить к вводу данных, начиная со строки 20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9525</xdr:colOff>
      <xdr:row>6</xdr:row>
      <xdr:rowOff>9525</xdr:rowOff>
    </xdr:from>
    <xdr:to>
      <xdr:col>7</xdr:col>
      <xdr:colOff>0</xdr:colOff>
      <xdr:row>10</xdr:row>
      <xdr:rowOff>57150</xdr:rowOff>
    </xdr:to>
    <xdr:sp macro="" textlink="">
      <xdr:nvSpPr>
        <xdr:cNvPr id="3" name="Надпись 2">
          <a:extLst>
            <a:ext uri="{FF2B5EF4-FFF2-40B4-BE49-F238E27FC236}">
              <a16:creationId xmlns:a16="http://schemas.microsoft.com/office/drawing/2014/main" id="{D875C2EC-152C-7323-5EF5-74FF1F96A203}"/>
            </a:ext>
            <a:ext uri="{147F2762-F138-4A5C-976F-8EAC2B608ADB}">
              <a16:predDERef xmlns:a16="http://schemas.microsoft.com/office/drawing/2014/main" pred="{D421BA5B-270C-0AA0-63D0-5225DB7C5A5C}"/>
            </a:ext>
          </a:extLst>
        </xdr:cNvPr>
        <xdr:cNvSpPr txBox="1"/>
      </xdr:nvSpPr>
      <xdr:spPr>
        <a:xfrm>
          <a:off x="7143750" y="1057275"/>
          <a:ext cx="4114800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команды: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dd if=out of=final bs=1 count=$((1808)) -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для нерезидентн.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dd if out skip=S((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смещение до данных файла))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bs=l count S(40)) |md5sum -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для резидентного (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out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менять на своё назв., опц.)</a:t>
          </a:r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34</xdr:row>
      <xdr:rowOff>0</xdr:rowOff>
    </xdr:to>
    <xdr:sp macro="" textlink="">
      <xdr:nvSpPr>
        <xdr:cNvPr id="4" name="Надпись 3">
          <a:extLst>
            <a:ext uri="{FF2B5EF4-FFF2-40B4-BE49-F238E27FC236}">
              <a16:creationId xmlns:a16="http://schemas.microsoft.com/office/drawing/2014/main" id="{AE4375D9-66DD-A1CC-3EA5-804A833AB1E5}"/>
            </a:ext>
            <a:ext uri="{147F2762-F138-4A5C-976F-8EAC2B608ADB}">
              <a16:predDERef xmlns:a16="http://schemas.microsoft.com/office/drawing/2014/main" pred="{D875C2EC-152C-7323-5EF5-74FF1F96A203}"/>
            </a:ext>
          </a:extLst>
        </xdr:cNvPr>
        <xdr:cNvSpPr txBox="1"/>
      </xdr:nvSpPr>
      <xdr:spPr>
        <a:xfrm>
          <a:off x="7134225" y="5019675"/>
          <a:ext cx="4124325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строки с 30 по 34 лучше пропускать, воспользовавшись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ctrl + f "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первая буква дир./файла". Когда нашли дир./файл ищете сверху ближайшую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L,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слева от неё байт = 60. далее согласно строкам таблицы начиная с 36</a:t>
          </a:r>
        </a:p>
        <a:p>
          <a:pPr marL="0" indent="0" algn="l"/>
          <a:endParaRPr lang="az-Cyrl-AZ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6</xdr:col>
      <xdr:colOff>9525</xdr:colOff>
      <xdr:row>50</xdr:row>
      <xdr:rowOff>9525</xdr:rowOff>
    </xdr:from>
    <xdr:to>
      <xdr:col>6</xdr:col>
      <xdr:colOff>4114800</xdr:colOff>
      <xdr:row>53</xdr:row>
      <xdr:rowOff>161925</xdr:rowOff>
    </xdr:to>
    <xdr:sp macro="" textlink="">
      <xdr:nvSpPr>
        <xdr:cNvPr id="5" name="Надпись 4">
          <a:extLst>
            <a:ext uri="{FF2B5EF4-FFF2-40B4-BE49-F238E27FC236}">
              <a16:creationId xmlns:a16="http://schemas.microsoft.com/office/drawing/2014/main" id="{14918EB6-9065-ABA5-627C-F9790AE4B0D0}"/>
            </a:ext>
            <a:ext uri="{147F2762-F138-4A5C-976F-8EAC2B608ADB}">
              <a16:predDERef xmlns:a16="http://schemas.microsoft.com/office/drawing/2014/main" pred="{AE4375D9-66DD-A1CC-3EA5-804A833AB1E5}"/>
            </a:ext>
          </a:extLst>
        </xdr:cNvPr>
        <xdr:cNvSpPr txBox="1"/>
      </xdr:nvSpPr>
      <xdr:spPr>
        <a:xfrm>
          <a:off x="7143750" y="8648700"/>
          <a:ext cx="41052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если в поле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C51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после ввода флага в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B51 </a:t>
          </a:r>
          <a:r>
            <a:rPr lang="az-Cyrl-AZ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отображается "резидентный", следует пропустить строки с 51 по 57, и вводить данные в поля начиная с 59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33" workbookViewId="0">
      <selection activeCell="D53" sqref="D53"/>
    </sheetView>
  </sheetViews>
  <sheetFormatPr defaultRowHeight="13.5"/>
  <cols>
    <col min="1" max="1" width="41.125" customWidth="1"/>
    <col min="2" max="2" width="14.125" customWidth="1"/>
    <col min="3" max="4" width="12.3125" customWidth="1"/>
    <col min="5" max="5" width="13.6875" customWidth="1"/>
    <col min="6" max="6" width="13.4375" customWidth="1"/>
    <col min="7" max="7" width="61.875" customWidth="1"/>
  </cols>
  <sheetData>
    <row r="1" spans="1:7">
      <c r="A1" t="s">
        <v>0</v>
      </c>
      <c r="B1" s="1" t="s">
        <v>1</v>
      </c>
    </row>
    <row r="2" spans="1:7" ht="15" customHeight="1">
      <c r="A2" s="2" t="s">
        <v>2</v>
      </c>
      <c r="B2" s="3">
        <v>512</v>
      </c>
      <c r="G2" s="2"/>
    </row>
    <row r="3" spans="1:7">
      <c r="A3" t="s">
        <v>3</v>
      </c>
      <c r="B3" s="3">
        <v>4</v>
      </c>
      <c r="G3" t="s">
        <v>4</v>
      </c>
    </row>
    <row r="4" spans="1:7">
      <c r="A4" t="s">
        <v>5</v>
      </c>
      <c r="B4" s="3">
        <v>8</v>
      </c>
    </row>
    <row r="6" spans="1:7">
      <c r="A6" t="s">
        <v>6</v>
      </c>
      <c r="B6" s="6">
        <f>B2*B3*B4</f>
        <v>16384</v>
      </c>
    </row>
    <row r="7" spans="1:7">
      <c r="A7" t="s">
        <v>7</v>
      </c>
      <c r="B7" s="4">
        <f>B6/B2</f>
        <v>32</v>
      </c>
      <c r="C7" t="s">
        <v>8</v>
      </c>
    </row>
    <row r="9" spans="1:7">
      <c r="A9" t="s">
        <v>9</v>
      </c>
      <c r="B9" s="5" t="s">
        <v>10</v>
      </c>
      <c r="C9" s="6" t="str">
        <f>"0x"&amp;MID(SUBSTITUTE(B9," ",""),7,2)&amp;MID(SUBSTITUTE(B9," ",""),5,2)&amp;MID(SUBSTITUTE(B9," ",""),3,2)&amp;MID(SUBSTITUTE(B9," ",""),1,2)</f>
        <v>0x00000400</v>
      </c>
      <c r="D9" s="6">
        <f>_xlfn.DECIMAL(C9, 16)</f>
        <v>1024</v>
      </c>
    </row>
    <row r="10" spans="1:7">
      <c r="A10" t="s">
        <v>11</v>
      </c>
      <c r="B10" s="6">
        <f>B6+D9*5</f>
        <v>21504</v>
      </c>
      <c r="C10" s="6" t="str">
        <f>"0x"&amp;DEC2HEX(B10)</f>
        <v>0x5400</v>
      </c>
    </row>
    <row r="11" spans="1:7">
      <c r="A11" t="s">
        <v>12</v>
      </c>
      <c r="B11" s="4">
        <f>B10/B2</f>
        <v>42</v>
      </c>
      <c r="C11" t="s">
        <v>8</v>
      </c>
    </row>
    <row r="13" spans="1:7">
      <c r="A13" s="20" t="s">
        <v>13</v>
      </c>
      <c r="B13" s="8" t="s">
        <v>14</v>
      </c>
      <c r="C13" s="9" t="str">
        <f>"0x"&amp;RIGHT(B13,2)&amp;LEFT(B13,2)</f>
        <v>0x0038</v>
      </c>
      <c r="D13" s="10">
        <f>_xlfn.DECIMAL(C13,16)</f>
        <v>56</v>
      </c>
    </row>
    <row r="14" spans="1:7">
      <c r="A14" s="21" t="s">
        <v>15</v>
      </c>
      <c r="B14" s="11">
        <f>B6+D9*5+D13</f>
        <v>21560</v>
      </c>
      <c r="C14" s="12" t="str">
        <f>"0x"&amp;DEC2HEX(B14)</f>
        <v>0x5438</v>
      </c>
      <c r="D14" s="13"/>
      <c r="E14" t="s">
        <v>16</v>
      </c>
      <c r="F14" t="s">
        <v>17</v>
      </c>
    </row>
    <row r="15" spans="1:7">
      <c r="A15" s="21" t="s">
        <v>18</v>
      </c>
      <c r="B15" s="14">
        <v>21800</v>
      </c>
      <c r="C15" s="15"/>
      <c r="D15" s="13"/>
      <c r="E15" s="5" t="s">
        <v>19</v>
      </c>
      <c r="F15" s="5" t="s">
        <v>20</v>
      </c>
    </row>
    <row r="16" spans="1:7">
      <c r="A16" s="21" t="s">
        <v>21</v>
      </c>
      <c r="B16" s="14" t="s">
        <v>20</v>
      </c>
      <c r="C16" s="11" t="str">
        <f>"0x"&amp;MID(SUBSTITUTE(B16," ",""),7,2)&amp;MID(SUBSTITUTE(B16," ",""),5,2)&amp;MID(SUBSTITUTE(B16," ",""),3,2)&amp;MID(SUBSTITUTE(B16," ",""),1,2)</f>
        <v>0x00000048</v>
      </c>
      <c r="D16" s="16">
        <f>_xlfn.DECIMAL(C16,16)</f>
        <v>72</v>
      </c>
      <c r="E16" s="5">
        <v>21800</v>
      </c>
    </row>
    <row r="17" spans="1:4">
      <c r="A17" s="22" t="s">
        <v>22</v>
      </c>
      <c r="B17" s="17">
        <f>IF(B15=0,B14+D16,B15+D16)</f>
        <v>21872</v>
      </c>
      <c r="C17" s="18" t="str">
        <f>"0x"&amp;DEC2HEX(B17)</f>
        <v>0x5570</v>
      </c>
      <c r="D17" s="19"/>
    </row>
    <row r="19" spans="1:4">
      <c r="A19" t="s">
        <v>23</v>
      </c>
      <c r="B19" s="5">
        <v>21888</v>
      </c>
    </row>
    <row r="20" spans="1:4">
      <c r="A20" t="s">
        <v>24</v>
      </c>
      <c r="B20" s="5" t="s">
        <v>25</v>
      </c>
      <c r="C20" s="6" t="str">
        <f>"0x"&amp;RIGHT(B20,2)&amp;LEFT(B20,2)</f>
        <v>0x0048</v>
      </c>
      <c r="D20" s="6">
        <f>_xlfn.DECIMAL(C20,16)</f>
        <v>72</v>
      </c>
    </row>
    <row r="21" spans="1:4">
      <c r="A21" t="s">
        <v>26</v>
      </c>
      <c r="B21" s="6">
        <f>B19+D20</f>
        <v>21960</v>
      </c>
      <c r="C21" s="4" t="str">
        <f>"0x"&amp;DEC2HEX(B21)</f>
        <v>0x55C8</v>
      </c>
    </row>
    <row r="22" spans="1:4">
      <c r="A22" t="s">
        <v>27</v>
      </c>
      <c r="B22" s="5" t="s">
        <v>28</v>
      </c>
      <c r="C22" s="6" t="str">
        <f>"0x"&amp;MID(SUBSTITUTE(B22," ",""),7,2)&amp;MID(SUBSTITUTE(B22," ",""),5,2)&amp;MID(SUBSTITUTE(B22," ",""),3,2)&amp;MID(SUBSTITUTE(B22," ",""),1,2)</f>
        <v>0x00001000</v>
      </c>
      <c r="D22" s="6">
        <f>_xlfn.DECIMAL(C22,16)</f>
        <v>4096</v>
      </c>
    </row>
    <row r="23" spans="1:4">
      <c r="A23" t="s">
        <v>29</v>
      </c>
      <c r="B23" s="5" t="s">
        <v>72</v>
      </c>
    </row>
    <row r="24" spans="1:4" ht="15.75" customHeight="1">
      <c r="A24" t="s">
        <v>30</v>
      </c>
      <c r="B24" s="7" t="str">
        <f>IF(_xlfn.DECIMAL(LEFT(B23,1),16)=0,"0",TRIM(MID(B23,4 + _xlfn.DECIMAL(MID(B23,2,1),16)*3, _xlfn.DECIMAL(LEFT(B23,1),16)*3)))</f>
        <v>D9 09</v>
      </c>
      <c r="C24" s="6" t="str">
        <f>"0x"&amp;RIGHT(B24,2)&amp;LEFT(B24,2)</f>
        <v>0x09D9</v>
      </c>
      <c r="D24" s="4">
        <f>_xlfn.DECIMAL(C24,16)</f>
        <v>2521</v>
      </c>
    </row>
    <row r="25" spans="1:4">
      <c r="A25" t="s">
        <v>31</v>
      </c>
      <c r="B25" s="6" t="str">
        <f>IF(_xlfn.DECIMAL(MID(B23,2,1),16)=0,"0",TRIM(MID(B23,4,_xlfn.DECIMAL(MID(B23,2,1),16)*3)))</f>
        <v>02</v>
      </c>
      <c r="C25" s="4">
        <f>_xlfn.DECIMAL(B25,16)</f>
        <v>2</v>
      </c>
    </row>
    <row r="27" spans="1:4">
      <c r="A27" t="s">
        <v>32</v>
      </c>
      <c r="B27" s="6">
        <f>B2*B3*D24</f>
        <v>5163008</v>
      </c>
      <c r="C27" s="6" t="str">
        <f>"0x"&amp;DEC2HEX(B27)</f>
        <v>0x4EC800</v>
      </c>
    </row>
    <row r="28" spans="1:4">
      <c r="A28" t="s">
        <v>33</v>
      </c>
      <c r="B28" s="4">
        <f>B27/B2</f>
        <v>10084</v>
      </c>
      <c r="C28" t="s">
        <v>8</v>
      </c>
    </row>
    <row r="30" spans="1:4">
      <c r="A30" s="20" t="s">
        <v>34</v>
      </c>
      <c r="B30" s="8" t="s">
        <v>35</v>
      </c>
      <c r="C30" s="9" t="str">
        <f>"0x"&amp;RIGHT(B30,2)&amp;LEFT(B30,2)</f>
        <v>0x0028</v>
      </c>
      <c r="D30" s="10">
        <f>_xlfn.DECIMAL(C30,16)</f>
        <v>40</v>
      </c>
    </row>
    <row r="31" spans="1:4">
      <c r="A31" s="21" t="s">
        <v>36</v>
      </c>
      <c r="B31" s="14" t="s">
        <v>37</v>
      </c>
      <c r="C31" s="11" t="str">
        <f>"0x"&amp;RIGHT(B31,2)&amp;LEFT(B31,2)</f>
        <v>0x0009</v>
      </c>
      <c r="D31" s="16">
        <f>_xlfn.DECIMAL(C31,16)</f>
        <v>9</v>
      </c>
    </row>
    <row r="32" spans="1:4">
      <c r="A32" s="21" t="s">
        <v>38</v>
      </c>
      <c r="B32" s="14">
        <v>3</v>
      </c>
      <c r="C32" s="15"/>
      <c r="D32" s="13"/>
    </row>
    <row r="33" spans="1:5">
      <c r="A33" s="21" t="s">
        <v>39</v>
      </c>
      <c r="B33" s="23" t="s">
        <v>40</v>
      </c>
      <c r="C33" s="11">
        <f>_xlfn.DECIMAL(B33,16)</f>
        <v>4219392</v>
      </c>
      <c r="D33" s="13"/>
    </row>
    <row r="34" spans="1:5" ht="15" customHeight="1">
      <c r="A34" s="22" t="s">
        <v>41</v>
      </c>
      <c r="B34" s="24">
        <f>C33+D30+(D31+B32*E32)*2</f>
        <v>4219450</v>
      </c>
      <c r="C34" s="18" t="str">
        <f>"0x"&amp;DEC2HEX(B34)</f>
        <v>0x40623A</v>
      </c>
      <c r="D34" s="25" t="str">
        <f>IF(RIGHT(C34,1)="8","подходит",IF(RIGHT(C34,1)="0", "подходит", "не подходит"))</f>
        <v>не подходит</v>
      </c>
    </row>
    <row r="36" spans="1:5">
      <c r="A36" t="s">
        <v>42</v>
      </c>
      <c r="B36" s="5" t="s">
        <v>73</v>
      </c>
      <c r="C36" s="6" t="str">
        <f>"0x"&amp;RIGHT(B36,2)&amp;LEFT(B36,2)</f>
        <v>0x0040</v>
      </c>
      <c r="D36" s="6">
        <f>_xlfn.DECIMAL(C36,16)</f>
        <v>64</v>
      </c>
    </row>
    <row r="37" spans="1:5">
      <c r="A37" t="s">
        <v>43</v>
      </c>
      <c r="B37" s="4">
        <f>(B2*B3*B4+D9*D36)/B2</f>
        <v>160</v>
      </c>
      <c r="C37" t="s">
        <v>8</v>
      </c>
    </row>
    <row r="38" spans="1:5">
      <c r="A38" t="s">
        <v>44</v>
      </c>
      <c r="B38" s="5" t="s">
        <v>74</v>
      </c>
      <c r="C38" s="7" t="str">
        <f>IF(_xlfn.DECIMAL(LEFT(B38,1),16)=0,"0",TRIM(MID(B38,4 + _xlfn.DECIMAL(MID(B38,2,1),16)*3, _xlfn.DECIMAL(LEFT(B38,1),16)*3)))</f>
        <v>3A 3B</v>
      </c>
      <c r="D38" s="6" t="str">
        <f>"0x"&amp;RIGHT(C38,2)&amp;LEFT(C38,2)</f>
        <v>0x3B3A</v>
      </c>
      <c r="E38" s="6">
        <f>_xlfn.DECIMAL(D38,16)</f>
        <v>15162</v>
      </c>
    </row>
    <row r="39" spans="1:5">
      <c r="A39" t="s">
        <v>45</v>
      </c>
      <c r="B39" s="4">
        <f>(B2*B3*E38)/B2</f>
        <v>60648</v>
      </c>
      <c r="C39" t="s">
        <v>8</v>
      </c>
    </row>
    <row r="40" spans="1:5">
      <c r="A40" t="s">
        <v>46</v>
      </c>
      <c r="B40" s="5" t="s">
        <v>75</v>
      </c>
      <c r="C40" s="6" t="str">
        <f>"0x"&amp;RIGHT(B40,2)&amp;LEFT(B40,2)</f>
        <v>0x008C</v>
      </c>
      <c r="D40" s="6">
        <f>_xlfn.DECIMAL(C40,16)</f>
        <v>140</v>
      </c>
    </row>
    <row r="41" spans="1:5">
      <c r="A41" t="s">
        <v>47</v>
      </c>
      <c r="B41" s="4">
        <f>(B2*B3*B4+D9*D40)/B2</f>
        <v>312</v>
      </c>
      <c r="C41" t="s">
        <v>8</v>
      </c>
    </row>
    <row r="42" spans="1:5">
      <c r="A42" t="s">
        <v>44</v>
      </c>
      <c r="B42" s="5" t="s">
        <v>76</v>
      </c>
      <c r="C42" s="7" t="str">
        <f>IF(_xlfn.DECIMAL(LEFT(B42,1),16)=0,"0",TRIM(MID(B42,4 + _xlfn.DECIMAL(MID(B42,2,1),16)*3, _xlfn.DECIMAL(LEFT(B42,1),16)*3)))</f>
        <v>3C 4B</v>
      </c>
      <c r="D42" s="6" t="str">
        <f>"0x"&amp;RIGHT(C42,2)&amp;LEFT(C42,2)</f>
        <v>0x4B3C</v>
      </c>
      <c r="E42" s="6">
        <f>_xlfn.DECIMAL(D42,16)</f>
        <v>19260</v>
      </c>
    </row>
    <row r="43" spans="1:5">
      <c r="A43" t="s">
        <v>48</v>
      </c>
      <c r="B43" s="4">
        <f>(B2*B3*E42)/B2</f>
        <v>77040</v>
      </c>
      <c r="C43" t="s">
        <v>8</v>
      </c>
    </row>
    <row r="44" spans="1:5">
      <c r="A44" t="s">
        <v>49</v>
      </c>
      <c r="B44" s="5" t="s">
        <v>77</v>
      </c>
      <c r="C44" s="6" t="str">
        <f>"0x"&amp;RIGHT(B44,2)&amp;LEFT(B44,2)</f>
        <v>0x0104</v>
      </c>
      <c r="D44" s="6">
        <f>_xlfn.DECIMAL(C44,16)</f>
        <v>260</v>
      </c>
    </row>
    <row r="45" spans="1:5">
      <c r="A45" t="s">
        <v>50</v>
      </c>
      <c r="B45" s="4">
        <f>(B2*B3*B4+D9*D44)/B2</f>
        <v>552</v>
      </c>
      <c r="C45" t="s">
        <v>8</v>
      </c>
    </row>
    <row r="46" spans="1:5">
      <c r="A46" t="s">
        <v>51</v>
      </c>
      <c r="B46" s="5" t="s">
        <v>52</v>
      </c>
      <c r="C46" s="7" t="str">
        <f>IF(_xlfn.DECIMAL(LEFT(B46,1),16)=0,"0",TRIM(MID(B46,4 + _xlfn.DECIMAL(MID(B46,2,1),16)*3, _xlfn.DECIMAL(LEFT(B46,1),16)*3)))</f>
        <v>BB 2E</v>
      </c>
      <c r="D46" s="6" t="str">
        <f>"0x"&amp;RIGHT(C46,2)&amp;LEFT(C46,2)</f>
        <v>0x2EBB</v>
      </c>
      <c r="E46" s="6">
        <f>_xlfn.DECIMAL(D46,16)</f>
        <v>11963</v>
      </c>
    </row>
    <row r="47" spans="1:5">
      <c r="A47" t="s">
        <v>53</v>
      </c>
      <c r="B47" s="4">
        <f>(B2*B3*E46)/B2</f>
        <v>47852</v>
      </c>
      <c r="C47" t="s">
        <v>8</v>
      </c>
    </row>
    <row r="48" spans="1:5">
      <c r="A48" t="s">
        <v>54</v>
      </c>
      <c r="B48" s="5" t="s">
        <v>55</v>
      </c>
      <c r="C48" s="6" t="str">
        <f>"0x"&amp;RIGHT(B48,2)&amp;LEFT(B48,2)</f>
        <v>0x0133</v>
      </c>
      <c r="D48" s="6">
        <f>_xlfn.DECIMAL(C48,16)</f>
        <v>307</v>
      </c>
    </row>
    <row r="49" spans="1:5">
      <c r="A49" t="s">
        <v>50</v>
      </c>
      <c r="B49" s="4">
        <f>(B2*B3*B4+D9*D48)/B2</f>
        <v>646</v>
      </c>
      <c r="C49" t="s">
        <v>8</v>
      </c>
    </row>
    <row r="50" spans="1:5">
      <c r="C50" s="2"/>
    </row>
    <row r="51" spans="1:5">
      <c r="A51" t="s">
        <v>56</v>
      </c>
      <c r="B51" s="5">
        <v>1</v>
      </c>
      <c r="C51" t="str">
        <f>IF(B51, "нерезидентный", "резидентный")</f>
        <v>нерезидентный</v>
      </c>
    </row>
    <row r="52" spans="1:5">
      <c r="A52" t="s">
        <v>26</v>
      </c>
      <c r="B52" s="5" t="s">
        <v>57</v>
      </c>
      <c r="C52" s="6" t="str">
        <f>"0x"&amp;MID(SUBSTITUTE(B52," ",""),7,2)&amp;MID(SUBSTITUTE(B52," ",""),5,2)&amp;MID(SUBSTITUTE(B52," ",""),3,2)&amp;MID(SUBSTITUTE(B52," ",""),1,2)</f>
        <v>0x00000040</v>
      </c>
      <c r="D52" s="6">
        <f>_xlfn.DECIMAL(C52,16)</f>
        <v>64</v>
      </c>
    </row>
    <row r="53" spans="1:5">
      <c r="A53" t="s">
        <v>58</v>
      </c>
      <c r="B53" s="5" t="s">
        <v>78</v>
      </c>
      <c r="C53" s="6" t="str">
        <f>"0x"&amp;MID(SUBSTITUTE(B53," ",""),7,2)&amp;MID(SUBSTITUTE(B53," ",""),5,2)&amp;MID(SUBSTITUTE(B53," ",""),3,2)&amp;MID(SUBSTITUTE(B53," ",""),1,2)</f>
        <v>0x00000BEB</v>
      </c>
      <c r="D53" s="4">
        <f>_xlfn.DECIMAL(C53,16)</f>
        <v>3051</v>
      </c>
      <c r="E53" s="1"/>
    </row>
    <row r="54" spans="1:5">
      <c r="A54" t="s">
        <v>59</v>
      </c>
      <c r="B54" s="5" t="s">
        <v>79</v>
      </c>
      <c r="C54" s="7" t="str">
        <f>IF(_xlfn.DECIMAL(LEFT(B54,1),16)=0,"0",TRIM(MID(B54,4 + _xlfn.DECIMAL(MID(B54,2,1),16)*3, _xlfn.DECIMAL(LEFT(B54,1),16)*3)))</f>
        <v>DF 3F</v>
      </c>
      <c r="D54" s="6" t="str">
        <f>"0x"&amp;RIGHT(C54,2)&amp;LEFT(C54,2)</f>
        <v>0x3FDF</v>
      </c>
      <c r="E54" s="6">
        <f>_xlfn.DECIMAL(D54,16)</f>
        <v>16351</v>
      </c>
    </row>
    <row r="55" spans="1:5">
      <c r="A55" t="s">
        <v>60</v>
      </c>
      <c r="B55" s="4">
        <f>(B2*B3*E54)/B2</f>
        <v>65404</v>
      </c>
    </row>
    <row r="56" spans="1:5">
      <c r="A56" t="s">
        <v>61</v>
      </c>
      <c r="B56" s="6" t="str">
        <f>IF(_xlfn.DECIMAL(MID(B54,2,1),16)=0,"0",TRIM(MID(B54,4,_xlfn.DECIMAL(MID(B54,2,1),16)*3)))</f>
        <v>02</v>
      </c>
      <c r="C56" s="6">
        <f>_xlfn.DECIMAL(B56,16)</f>
        <v>2</v>
      </c>
    </row>
    <row r="57" spans="1:5">
      <c r="A57" t="s">
        <v>62</v>
      </c>
      <c r="B57" s="4">
        <f>C56*B3</f>
        <v>8</v>
      </c>
    </row>
    <row r="59" spans="1:5">
      <c r="A59" t="s">
        <v>63</v>
      </c>
      <c r="B59" s="5" t="s">
        <v>64</v>
      </c>
      <c r="C59" s="6" t="str">
        <f>"0x"&amp;MID(SUBSTITUTE(B59," ",""),7,2)&amp;MID(SUBSTITUTE(B59," ",""),5,2)&amp;MID(SUBSTITUTE(B59," ",""),3,2)&amp;MID(SUBSTITUTE(B59," ",""),1,2)</f>
        <v>0x00000055</v>
      </c>
      <c r="D59" s="6">
        <f>_xlfn.DECIMAL(C59,16)</f>
        <v>85</v>
      </c>
    </row>
    <row r="60" spans="1:5">
      <c r="A60" t="s">
        <v>65</v>
      </c>
      <c r="B60" s="5" t="s">
        <v>66</v>
      </c>
      <c r="C60" s="6" t="str">
        <f>"0x"&amp;MID(SUBSTITUTE(B60," ",""),7,2)&amp;MID(SUBSTITUTE(B60," ",""),5,2)&amp;MID(SUBSTITUTE(B60," ",""),3,2)&amp;MID(SUBSTITUTE(B60," ",""),1,2)</f>
        <v>0x00000018</v>
      </c>
      <c r="D60" s="6">
        <f>_xlfn.DECIMAL(C60,16)</f>
        <v>24</v>
      </c>
    </row>
    <row r="61" spans="1:5">
      <c r="A61" t="s">
        <v>67</v>
      </c>
      <c r="B61" s="5" t="s">
        <v>68</v>
      </c>
      <c r="C61" s="6">
        <f>_xlfn.DECIMAL(B61,16)</f>
        <v>330752</v>
      </c>
    </row>
    <row r="62" spans="1:5">
      <c r="A62" t="s">
        <v>69</v>
      </c>
      <c r="B62" s="5" t="s">
        <v>70</v>
      </c>
      <c r="C62" s="6">
        <f>_xlfn.DECIMAL(B62,16)</f>
        <v>331088</v>
      </c>
    </row>
    <row r="63" spans="1:5">
      <c r="A63" t="s">
        <v>71</v>
      </c>
      <c r="B63" s="4">
        <f>C62+D60-C61</f>
        <v>360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Сергей Астахов</cp:lastModifiedBy>
  <cp:revision/>
  <dcterms:created xsi:type="dcterms:W3CDTF">2025-06-06T17:16:41Z</dcterms:created>
  <dcterms:modified xsi:type="dcterms:W3CDTF">2025-06-08T16:47:19Z</dcterms:modified>
  <cp:category/>
  <cp:contentStatus/>
</cp:coreProperties>
</file>